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hung\Desktop\"/>
    </mc:Choice>
  </mc:AlternateContent>
  <xr:revisionPtr revIDLastSave="0" documentId="8_{F926E399-61E2-4E0F-AF1F-4F6E635B3339}" xr6:coauthVersionLast="45" xr6:coauthVersionMax="45" xr10:uidLastSave="{00000000-0000-0000-0000-000000000000}"/>
  <bookViews>
    <workbookView xWindow="-120" yWindow="-120" windowWidth="29040" windowHeight="15990" xr2:uid="{00000000-000D-0000-FFFF-FFFF00000000}"/>
  </bookViews>
  <sheets>
    <sheet name="TasksheetBID" sheetId="3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M42" i="3" l="1"/>
  <c r="I42" i="3"/>
  <c r="L42" i="3"/>
  <c r="J42" i="3"/>
  <c r="K42" i="3"/>
  <c r="H42" i="3"/>
  <c r="G42" i="3"/>
  <c r="H94" i="3"/>
  <c r="M94" i="3"/>
  <c r="L94" i="3"/>
  <c r="G94" i="3"/>
  <c r="K94" i="3"/>
  <c r="J94" i="3"/>
  <c r="I94" i="3"/>
  <c r="F94" i="3"/>
  <c r="L89" i="3"/>
  <c r="J89" i="3"/>
  <c r="K89" i="3"/>
  <c r="G89" i="3"/>
  <c r="I89" i="3"/>
  <c r="H89" i="3"/>
  <c r="M89" i="3"/>
  <c r="F89" i="3"/>
  <c r="F79" i="3"/>
  <c r="F107" i="3" s="1"/>
  <c r="K79" i="3"/>
  <c r="K107" i="3" s="1"/>
  <c r="H79" i="3"/>
  <c r="H107" i="3" s="1"/>
  <c r="J79" i="3"/>
  <c r="J107" i="3" s="1"/>
  <c r="G79" i="3"/>
  <c r="G107" i="3" s="1"/>
  <c r="I79" i="3"/>
  <c r="I107" i="3" s="1"/>
  <c r="M79" i="3"/>
  <c r="M107" i="3" s="1"/>
  <c r="L79" i="3"/>
  <c r="L107" i="3" s="1"/>
  <c r="F3" i="3"/>
  <c r="F42" i="3"/>
  <c r="M36" i="3"/>
  <c r="L36" i="3"/>
  <c r="K36" i="3"/>
  <c r="J36" i="3"/>
  <c r="I36" i="3"/>
  <c r="H36" i="3"/>
  <c r="G36" i="3"/>
  <c r="F36" i="3"/>
  <c r="M33" i="3"/>
  <c r="L33" i="3"/>
  <c r="I33" i="3"/>
  <c r="K33" i="3"/>
  <c r="J33" i="3"/>
  <c r="H33" i="3"/>
  <c r="G33" i="3"/>
  <c r="F33" i="3"/>
  <c r="M28" i="3"/>
  <c r="H28" i="3"/>
  <c r="L28" i="3"/>
  <c r="I28" i="3"/>
  <c r="K28" i="3"/>
  <c r="J28" i="3"/>
  <c r="G28" i="3"/>
  <c r="F28" i="3"/>
  <c r="L23" i="3"/>
  <c r="K23" i="3"/>
  <c r="J23" i="3"/>
  <c r="I23" i="3"/>
  <c r="H23" i="3"/>
  <c r="G23" i="3"/>
  <c r="M23" i="3"/>
  <c r="F23" i="3"/>
  <c r="M16" i="3"/>
  <c r="L16" i="3"/>
  <c r="K16" i="3"/>
  <c r="I16" i="3"/>
  <c r="H16" i="3"/>
  <c r="J16" i="3"/>
  <c r="G16" i="3"/>
  <c r="L3" i="3"/>
  <c r="L72" i="3" s="1"/>
  <c r="M3" i="3"/>
  <c r="M72" i="3" s="1"/>
  <c r="K3" i="3"/>
  <c r="K72" i="3" s="1"/>
  <c r="G3" i="3"/>
  <c r="G72" i="3" s="1"/>
  <c r="J3" i="3"/>
  <c r="J72" i="3" s="1"/>
  <c r="I3" i="3"/>
  <c r="I72" i="3" s="1"/>
  <c r="H3" i="3"/>
  <c r="H72" i="3" s="1"/>
  <c r="F16" i="3"/>
  <c r="F72" i="3" s="1"/>
  <c r="M78" i="3"/>
  <c r="H78" i="3"/>
  <c r="I78" i="3"/>
  <c r="F78" i="3"/>
  <c r="G78" i="3"/>
  <c r="K78" i="3"/>
  <c r="L78" i="3"/>
  <c r="J78" i="3"/>
  <c r="L108" i="3"/>
  <c r="I108" i="3"/>
  <c r="M108" i="3" l="1"/>
  <c r="H108" i="3"/>
  <c r="K108" i="3"/>
  <c r="F108" i="3"/>
  <c r="J108" i="3"/>
  <c r="G108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C79" authorId="0" shapeId="0" xr:uid="{48F4CD0E-90A5-4ADB-80E5-DE8DCE551BB4}">
      <text>
        <r>
          <rPr>
            <sz val="10"/>
            <color rgb="FF000000"/>
            <rFont val="Arial"/>
            <family val="2"/>
          </rPr>
          <t xml:space="preserve">Kieu Trong Khanh:
Chỉ mô tả các coreflow
</t>
        </r>
      </text>
    </comment>
    <comment ref="C89" authorId="0" shapeId="0" xr:uid="{A3240859-203D-4378-9E00-02F72C3F5E1E}">
      <text>
        <r>
          <rPr>
            <sz val="10"/>
            <color rgb="FF000000"/>
            <rFont val="Arial"/>
            <family val="2"/>
          </rPr>
          <t xml:space="preserve">Kieu Trong Khanh:
Chỉ mô tả các coreflow
</t>
        </r>
      </text>
    </comment>
    <comment ref="C94" authorId="0" shapeId="0" xr:uid="{FD07E312-E6FD-498E-BFB9-2BD78AC0B447}">
      <text>
        <r>
          <rPr>
            <sz val="10"/>
            <color rgb="FF000000"/>
            <rFont val="Arial"/>
            <family val="2"/>
          </rPr>
          <t xml:space="preserve">Kieu Trong Khanh:
Chỉ mô tả các coreflow
</t>
        </r>
      </text>
    </comment>
  </commentList>
</comments>
</file>

<file path=xl/sharedStrings.xml><?xml version="1.0" encoding="utf-8"?>
<sst xmlns="http://schemas.openxmlformats.org/spreadsheetml/2006/main" count="208" uniqueCount="173">
  <si>
    <t>No.</t>
  </si>
  <si>
    <t>Product Deliverable</t>
  </si>
  <si>
    <t>Requirement</t>
  </si>
  <si>
    <t>Description</t>
  </si>
  <si>
    <t>Percentage</t>
  </si>
  <si>
    <t>Advisor Evaluate</t>
  </si>
  <si>
    <t>Reviewer Evaluate</t>
  </si>
  <si>
    <t>Requirements (30%)</t>
  </si>
  <si>
    <t>Design (30%)</t>
  </si>
  <si>
    <t>Class Diagram</t>
  </si>
  <si>
    <t>ERD</t>
  </si>
  <si>
    <t>Interactive Diagram</t>
  </si>
  <si>
    <t>UI, UX</t>
  </si>
  <si>
    <t>Implementation (40%)</t>
  </si>
  <si>
    <t>Total</t>
  </si>
  <si>
    <t>Staff Requirement</t>
  </si>
  <si>
    <t>Component Diagram</t>
  </si>
  <si>
    <t>Send request check-in</t>
  </si>
  <si>
    <t>Phùng Thiên Phúc</t>
  </si>
  <si>
    <t>Phạm Hải Dương</t>
  </si>
  <si>
    <t>Hồ Tấn Kỳ</t>
  </si>
  <si>
    <t>Hoàng Nhật Đông</t>
  </si>
  <si>
    <t>Parent Requirement</t>
  </si>
  <si>
    <t>Create sitting request</t>
  </si>
  <si>
    <t>Cancel the sitting request</t>
  </si>
  <si>
    <t>Pay for the sitting</t>
  </si>
  <si>
    <t>Create the sitting request</t>
  </si>
  <si>
    <t>Send feedback for the sitting</t>
  </si>
  <si>
    <t>Answer parent's invitation</t>
  </si>
  <si>
    <t>Get incoming babysitting</t>
  </si>
  <si>
    <t>Get sitting history</t>
  </si>
  <si>
    <t>Edit preferences</t>
  </si>
  <si>
    <t>Get invitation list</t>
  </si>
  <si>
    <t>Get request list</t>
  </si>
  <si>
    <t>System Handler Requirement</t>
  </si>
  <si>
    <t>Sitter Requirement</t>
  </si>
  <si>
    <t>Match babysitter and parent</t>
  </si>
  <si>
    <t>Recommend babysitter to parent</t>
  </si>
  <si>
    <t>Provide e-token to babysitter</t>
  </si>
  <si>
    <t>Payment Requirement</t>
  </si>
  <si>
    <t>Pay the transaction</t>
  </si>
  <si>
    <t>Refund the transaction</t>
  </si>
  <si>
    <t>Accept the babysitter</t>
  </si>
  <si>
    <t>Create trust circle</t>
  </si>
  <si>
    <t>Join trust circle</t>
  </si>
  <si>
    <t>Usercase Specification</t>
  </si>
  <si>
    <t>Usercase Diagram</t>
  </si>
  <si>
    <t>Parent use-cases</t>
  </si>
  <si>
    <t>Babysitter use-cases</t>
  </si>
  <si>
    <t>System handler use-cases</t>
  </si>
  <si>
    <t>Get request detail</t>
  </si>
  <si>
    <t>Get request history</t>
  </si>
  <si>
    <t>Get list babysitting request</t>
  </si>
  <si>
    <t>Create user</t>
  </si>
  <si>
    <t>Edit/update user profile</t>
  </si>
  <si>
    <t>Get invitation detail</t>
  </si>
  <si>
    <t>Edit configuration</t>
  </si>
  <si>
    <t>Staff use-cases</t>
  </si>
  <si>
    <t>Payment use-cases</t>
  </si>
  <si>
    <t>Web Services</t>
  </si>
  <si>
    <t xml:space="preserve">     Authenticate service</t>
  </si>
  <si>
    <r>
      <rPr>
        <b/>
        <sz val="11"/>
        <color theme="1"/>
        <rFont val="Times New Roman"/>
        <family val="1"/>
      </rPr>
      <t xml:space="preserve">&lt;User&gt; </t>
    </r>
    <r>
      <rPr>
        <sz val="11"/>
        <color theme="1"/>
        <rFont val="Times New Roman"/>
        <family val="1"/>
      </rPr>
      <t xml:space="preserve">Login </t>
    </r>
  </si>
  <si>
    <r>
      <t xml:space="preserve">&lt;Babysitter&gt; </t>
    </r>
    <r>
      <rPr>
        <sz val="11"/>
        <color theme="1"/>
        <rFont val="Times New Roman"/>
        <family val="1"/>
      </rPr>
      <t>Edit sitting preferences</t>
    </r>
  </si>
  <si>
    <r>
      <t xml:space="preserve">&lt;Babysitter&gt; </t>
    </r>
    <r>
      <rPr>
        <sz val="11"/>
        <color theme="1"/>
        <rFont val="Times New Roman"/>
        <family val="1"/>
      </rPr>
      <t>Get invitation list</t>
    </r>
  </si>
  <si>
    <r>
      <t xml:space="preserve">&lt;Babysitter&gt; </t>
    </r>
    <r>
      <rPr>
        <sz val="11"/>
        <color theme="1"/>
        <rFont val="Times New Roman"/>
        <family val="1"/>
      </rPr>
      <t>Get invitation</t>
    </r>
  </si>
  <si>
    <r>
      <t xml:space="preserve">&lt;Babysitter&gt; </t>
    </r>
    <r>
      <rPr>
        <sz val="11"/>
        <color theme="1"/>
        <rFont val="Times New Roman"/>
        <family val="1"/>
      </rPr>
      <t>Answer invitation</t>
    </r>
  </si>
  <si>
    <r>
      <t xml:space="preserve">&lt;Babysitter&gt; </t>
    </r>
    <r>
      <rPr>
        <sz val="11"/>
        <color theme="1"/>
        <rFont val="Times New Roman"/>
        <family val="1"/>
      </rPr>
      <t>Get sitting history</t>
    </r>
  </si>
  <si>
    <r>
      <t xml:space="preserve">&lt;Parent&gt; </t>
    </r>
    <r>
      <rPr>
        <sz val="11"/>
        <color theme="1"/>
        <rFont val="Times New Roman"/>
        <family val="1"/>
      </rPr>
      <t>Get babysitting request list</t>
    </r>
  </si>
  <si>
    <r>
      <t xml:space="preserve">&lt;Parent&gt; </t>
    </r>
    <r>
      <rPr>
        <sz val="11"/>
        <color theme="1"/>
        <rFont val="Times New Roman"/>
        <family val="1"/>
      </rPr>
      <t>Get babysitting request</t>
    </r>
  </si>
  <si>
    <r>
      <t xml:space="preserve">&lt;Parent&gt; </t>
    </r>
    <r>
      <rPr>
        <sz val="11"/>
        <color theme="1"/>
        <rFont val="Times New Roman"/>
        <family val="1"/>
      </rPr>
      <t>Accept babysitter</t>
    </r>
  </si>
  <si>
    <r>
      <t xml:space="preserve">&lt;Parent&gt; </t>
    </r>
    <r>
      <rPr>
        <sz val="11"/>
        <color theme="1"/>
        <rFont val="Times New Roman"/>
        <family val="1"/>
      </rPr>
      <t>Create babysitting request</t>
    </r>
  </si>
  <si>
    <r>
      <t xml:space="preserve">&lt;Parent&gt; </t>
    </r>
    <r>
      <rPr>
        <sz val="11"/>
        <color theme="1"/>
        <rFont val="Times New Roman"/>
        <family val="1"/>
      </rPr>
      <t>Send invitation</t>
    </r>
  </si>
  <si>
    <r>
      <t xml:space="preserve">&lt;Parent&gt; </t>
    </r>
    <r>
      <rPr>
        <sz val="11"/>
        <color theme="1"/>
        <rFont val="Times New Roman"/>
        <family val="1"/>
      </rPr>
      <t>Get profile information</t>
    </r>
  </si>
  <si>
    <r>
      <t xml:space="preserve">&lt;Parent&gt; </t>
    </r>
    <r>
      <rPr>
        <sz val="11"/>
        <color theme="1"/>
        <rFont val="Times New Roman"/>
        <family val="1"/>
      </rPr>
      <t>Pay for the sitting request</t>
    </r>
  </si>
  <si>
    <r>
      <t xml:space="preserve">&lt;Parent&gt; </t>
    </r>
    <r>
      <rPr>
        <sz val="11"/>
        <color theme="1"/>
        <rFont val="Times New Roman"/>
        <family val="1"/>
      </rPr>
      <t>Get request History</t>
    </r>
  </si>
  <si>
    <r>
      <t xml:space="preserve">&lt;Parent&gt; </t>
    </r>
    <r>
      <rPr>
        <sz val="11"/>
        <color theme="1"/>
        <rFont val="Times New Roman"/>
        <family val="1"/>
      </rPr>
      <t>Send feedback</t>
    </r>
  </si>
  <si>
    <r>
      <t xml:space="preserve">&lt;Parent&gt; </t>
    </r>
    <r>
      <rPr>
        <sz val="11"/>
        <color theme="1"/>
        <rFont val="Times New Roman"/>
        <family val="1"/>
      </rPr>
      <t>Create trust circle</t>
    </r>
  </si>
  <si>
    <r>
      <t xml:space="preserve">&lt;Parent&gt; </t>
    </r>
    <r>
      <rPr>
        <sz val="11"/>
        <color theme="1"/>
        <rFont val="Times New Roman"/>
        <family val="1"/>
      </rPr>
      <t>Join trust circle</t>
    </r>
  </si>
  <si>
    <r>
      <t xml:space="preserve">&lt;System handler&gt; </t>
    </r>
    <r>
      <rPr>
        <sz val="11"/>
        <color theme="1"/>
        <rFont val="Times New Roman"/>
        <family val="1"/>
      </rPr>
      <t>Save transaction record</t>
    </r>
  </si>
  <si>
    <r>
      <t xml:space="preserve">&lt;System handler&gt; </t>
    </r>
    <r>
      <rPr>
        <sz val="11"/>
        <color theme="1"/>
        <rFont val="Times New Roman"/>
        <family val="1"/>
      </rPr>
      <t>Generate identification tokens</t>
    </r>
  </si>
  <si>
    <r>
      <t xml:space="preserve">&lt;System handler&gt; </t>
    </r>
    <r>
      <rPr>
        <sz val="11"/>
        <color theme="1"/>
        <rFont val="Times New Roman"/>
        <family val="1"/>
      </rPr>
      <t>Match parent and babysitter</t>
    </r>
  </si>
  <si>
    <r>
      <t xml:space="preserve">&lt;System handler&gt; </t>
    </r>
    <r>
      <rPr>
        <sz val="11"/>
        <color theme="1"/>
        <rFont val="Times New Roman"/>
        <family val="1"/>
      </rPr>
      <t>Recommend babysitter to parent</t>
    </r>
  </si>
  <si>
    <r>
      <rPr>
        <b/>
        <sz val="11"/>
        <color theme="1"/>
        <rFont val="Times New Roman"/>
        <family val="1"/>
      </rPr>
      <t xml:space="preserve">&lt;Payment&gt; </t>
    </r>
    <r>
      <rPr>
        <sz val="11"/>
        <color theme="1"/>
        <rFont val="Times New Roman"/>
        <family val="1"/>
      </rPr>
      <t>Pay</t>
    </r>
  </si>
  <si>
    <r>
      <rPr>
        <b/>
        <sz val="11"/>
        <color theme="1"/>
        <rFont val="Times New Roman"/>
        <family val="1"/>
      </rPr>
      <t xml:space="preserve">&lt;Payment&gt; </t>
    </r>
    <r>
      <rPr>
        <sz val="11"/>
        <color theme="1"/>
        <rFont val="Times New Roman"/>
        <family val="1"/>
      </rPr>
      <t>Refund</t>
    </r>
  </si>
  <si>
    <r>
      <rPr>
        <b/>
        <sz val="11"/>
        <color theme="1"/>
        <rFont val="Times New Roman"/>
        <family val="1"/>
      </rPr>
      <t xml:space="preserve">&lt;Staff&gt; </t>
    </r>
    <r>
      <rPr>
        <sz val="11"/>
        <color theme="1"/>
        <rFont val="Times New Roman"/>
        <family val="1"/>
      </rPr>
      <t>Edit configuration</t>
    </r>
  </si>
  <si>
    <r>
      <rPr>
        <b/>
        <sz val="11"/>
        <color theme="1"/>
        <rFont val="Times New Roman"/>
        <family val="1"/>
      </rPr>
      <t xml:space="preserve">&lt;Staff&gt; </t>
    </r>
    <r>
      <rPr>
        <sz val="11"/>
        <color theme="1"/>
        <rFont val="Times New Roman"/>
        <family val="1"/>
      </rPr>
      <t>Create user account</t>
    </r>
  </si>
  <si>
    <r>
      <rPr>
        <b/>
        <sz val="11"/>
        <color theme="1"/>
        <rFont val="Times New Roman"/>
        <family val="1"/>
      </rPr>
      <t xml:space="preserve">&lt;Staff&gt; </t>
    </r>
    <r>
      <rPr>
        <sz val="11"/>
        <color theme="1"/>
        <rFont val="Times New Roman"/>
        <family val="1"/>
      </rPr>
      <t>Deactivate/Activate (Ban) user</t>
    </r>
  </si>
  <si>
    <t>Mobile Application</t>
  </si>
  <si>
    <t xml:space="preserve">     Parent services</t>
  </si>
  <si>
    <t>Parent cancel their requested sitting request</t>
  </si>
  <si>
    <t xml:space="preserve">Parent create a new sitting request </t>
  </si>
  <si>
    <t>Parent accept one babysitter from the accepted babysitter</t>
  </si>
  <si>
    <t>Parent gets a request list, they are pending, confirmed or ongoing</t>
  </si>
  <si>
    <t>Parent pay for their sitting request</t>
  </si>
  <si>
    <t>Parent gets history of all their requests</t>
  </si>
  <si>
    <t>Parent give feed back for their sitting request</t>
  </si>
  <si>
    <t>Parent join other parent trust circle</t>
  </si>
  <si>
    <t>Parent create a new trust circle</t>
  </si>
  <si>
    <t>Sitter accept or decline invitation of a sitting request from parent</t>
  </si>
  <si>
    <t>Sitter gets all of their incoming sitting request (confirmed invitation)</t>
  </si>
  <si>
    <t>Sitter gets history of all theirs sittings</t>
  </si>
  <si>
    <t>Sitter edit their sitting preferences include (their workday and worktime)</t>
  </si>
  <si>
    <t>Sitter gets list of pending invitation</t>
  </si>
  <si>
    <t>Sitter get detail information about an invitation. (distance, address, start and end time, how many child, age of the youngest child)</t>
  </si>
  <si>
    <t xml:space="preserve">Parent gets the details of the sitting request. Parent can know: - How many sitter accepted - information of the accepted sitter - </t>
  </si>
  <si>
    <t>Staff gets information of all sitting request. Such as: sittingdate - start/end time - parent - accepted sitter - status - address.</t>
  </si>
  <si>
    <t>Staff create a new user</t>
  </si>
  <si>
    <t>Staff edit/update user information such as: address, child number</t>
  </si>
  <si>
    <t>Staff edit configuration of payment cancel fee, distance, price</t>
  </si>
  <si>
    <t>System handler match babysitter with parent base on their preferences such as: Number of children, age, distance between parent and sitter, schedules, rating and sitter preferences</t>
  </si>
  <si>
    <t>System handler recommend babysitter to parent base on score of the matched sitter and parent</t>
  </si>
  <si>
    <t>System handler provide soft token to babysitter and require it when sitter login</t>
  </si>
  <si>
    <t>Payment update the transaction and trigger refund when user cancel the sitting request</t>
  </si>
  <si>
    <t>User login into the system, babysitter need to provide addtion authentication code to be able to access</t>
  </si>
  <si>
    <t>Send sitting request invitation to babysitter</t>
  </si>
  <si>
    <t>Parent send invitation to babysitter for the sitting request</t>
  </si>
  <si>
    <t xml:space="preserve">Get profile information </t>
  </si>
  <si>
    <t>Parent gets their profile information such as: address, children, their phone number, email</t>
  </si>
  <si>
    <t>Sitter gets list of pending invitation and their accepted invitation</t>
  </si>
  <si>
    <t>Save transaction record</t>
  </si>
  <si>
    <t xml:space="preserve">System handler save the transaction record to database after the sitting request been confirmed </t>
  </si>
  <si>
    <t>Payment charge the user credit card using stripe api</t>
  </si>
  <si>
    <r>
      <rPr>
        <b/>
        <sz val="11"/>
        <color theme="1"/>
        <rFont val="Times New Roman"/>
        <family val="1"/>
      </rPr>
      <t xml:space="preserve">&lt;Staff&gt; </t>
    </r>
    <r>
      <rPr>
        <sz val="11"/>
        <color theme="1"/>
        <rFont val="Times New Roman"/>
        <family val="1"/>
      </rPr>
      <t>Get list sitting request</t>
    </r>
  </si>
  <si>
    <r>
      <rPr>
        <b/>
        <sz val="11"/>
        <color theme="1"/>
        <rFont val="Times New Roman"/>
        <family val="1"/>
      </rPr>
      <t xml:space="preserve">&lt;Staff&gt; </t>
    </r>
    <r>
      <rPr>
        <sz val="11"/>
        <color theme="1"/>
        <rFont val="Times New Roman"/>
        <family val="1"/>
      </rPr>
      <t>Edit/update user profile</t>
    </r>
  </si>
  <si>
    <t>Staff active/deactive the user account</t>
  </si>
  <si>
    <t xml:space="preserve">Staff dashboard </t>
  </si>
  <si>
    <t>Get list of all sitting request and list of all users</t>
  </si>
  <si>
    <t>Edit/update configuration</t>
  </si>
  <si>
    <t>Change price ratio, refund fee, time, distance</t>
  </si>
  <si>
    <t>Create new user</t>
  </si>
  <si>
    <t>Create new account for user</t>
  </si>
  <si>
    <t>Staff edit/update user information such as: address, child number, phone number, email.</t>
  </si>
  <si>
    <t>Web Application</t>
  </si>
  <si>
    <t xml:space="preserve">     Matching service</t>
  </si>
  <si>
    <t xml:space="preserve">     Recommend service</t>
  </si>
  <si>
    <t xml:space="preserve">     Payment service</t>
  </si>
  <si>
    <t xml:space="preserve">     Sitter services</t>
  </si>
  <si>
    <t>Get pending, accepted, confirmed invitations - sitter preferences, sitter profile</t>
  </si>
  <si>
    <t>Get pending, confirmed, ongoing sitting request, parent profile</t>
  </si>
  <si>
    <t>Match babysitter and parent base on their criterions</t>
  </si>
  <si>
    <t>Recommend babysitter to parent base on the point of matched babysiter and parent</t>
  </si>
  <si>
    <t>Create charge, refund request to the payment server</t>
  </si>
  <si>
    <t>Authenticate based on user's token and authentication code</t>
  </si>
  <si>
    <t xml:space="preserve">     Create sitting request</t>
  </si>
  <si>
    <t xml:space="preserve">     Accept babysitter </t>
  </si>
  <si>
    <t xml:space="preserve">     Answer sitting request</t>
  </si>
  <si>
    <t>Create new sitting request</t>
  </si>
  <si>
    <t>Accept a babysitter from the list of accepted sitter</t>
  </si>
  <si>
    <t>Accept/Decline an invitation from parent</t>
  </si>
  <si>
    <t>Create a new sitting request</t>
  </si>
  <si>
    <t>Recommend babysitter</t>
  </si>
  <si>
    <t>User get list of recommeded babysitter</t>
  </si>
  <si>
    <t>Accept babysitter</t>
  </si>
  <si>
    <t>User accept a babysitter from a list of accepted babysitter</t>
  </si>
  <si>
    <t>View sitting request history</t>
  </si>
  <si>
    <t>Gets previous sitting request by the user</t>
  </si>
  <si>
    <t>View trust circle</t>
  </si>
  <si>
    <t>Gets all members in trust circles</t>
  </si>
  <si>
    <t>Invite to trust circle</t>
  </si>
  <si>
    <t>Invite others to user's trust circle</t>
  </si>
  <si>
    <t>User send requeset to let sitter check in, an qr code will be generated for the user to scan</t>
  </si>
  <si>
    <t>Send request done</t>
  </si>
  <si>
    <t>User send requeset to let sitter finish, an qr code will be generated for the user to scan</t>
  </si>
  <si>
    <t>View invitation list</t>
  </si>
  <si>
    <t>View sitting request list</t>
  </si>
  <si>
    <t>Answer invitation</t>
  </si>
  <si>
    <t>User accept/decline parent invitation</t>
  </si>
  <si>
    <t>Change preferences</t>
  </si>
  <si>
    <t>User change their preferences, such as: workday, worktime</t>
  </si>
  <si>
    <t>Gets user's invitation, status of pending, accepted and confirmed</t>
  </si>
  <si>
    <t>Total (Requirement)</t>
  </si>
  <si>
    <t>Total (Degisn)</t>
  </si>
  <si>
    <t>Gets all the babysitting request of the user group by date with status of pending, confirmed or ongoing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</si>
</sst>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.0%"/>
  </numFmts>
  <fonts count="14">
    <font>
      <sz val="11"/>
      <color theme="1"/>
      <name val="Calibri"/>
      <family val="2"/>
      <scheme val="minor"/>
    </font>
    <font>
      <b/>
      <sz val="14"/>
      <color theme="0"/>
      <name val="Times New Roman"/>
      <family val="1"/>
    </font>
    <font>
      <sz val="11"/>
      <name val="ＭＳ Ｐゴシック"/>
      <family val="3"/>
      <charset val="128"/>
    </font>
    <font>
      <b/>
      <sz val="11"/>
      <color indexed="9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sz val="12"/>
      <color theme="1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scheme val="minor"/>
    </font>
    <font>
      <b/>
      <sz val="13"/>
      <color rgb="FF000000"/>
      <name val="Times New Roman"/>
      <family val="1"/>
    </font>
    <font>
      <sz val="13"/>
      <color rgb="FF000000"/>
      <name val="Times New Roman"/>
      <family val="1"/>
    </font>
    <font>
      <sz val="10"/>
      <color rgb="FF000000"/>
      <name val="Arial"/>
      <family val="2"/>
    </font>
    <font>
      <b/>
      <sz val="12"/>
      <color theme="1"/>
      <name val="Times New Roman"/>
      <family val="1"/>
    </font>
    <font>
      <sz val="12"/>
      <color theme="1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9" tint="-0.249977111117893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</borders>
  <cellStyleXfs count="3">
    <xf numFmtId="0" fontId="0" fillId="0" borderId="0"/>
    <xf numFmtId="0" fontId="2" fillId="0" borderId="0"/>
    <xf numFmtId="9" fontId="8" fillId="0" borderId="0" applyFont="0" applyFill="0" applyBorder="0" applyAlignment="0" applyProtection="0"/>
  </cellStyleXfs>
  <cellXfs count="69">
    <xf numFmtId="0" fontId="0" fillId="0" borderId="0" xfId="0"/>
    <xf numFmtId="0" fontId="3" fillId="3" borderId="5" xfId="1" applyFont="1" applyFill="1" applyBorder="1" applyAlignment="1">
      <alignment vertical="top" textRotation="180"/>
    </xf>
    <xf numFmtId="0" fontId="4" fillId="0" borderId="4" xfId="0" applyFont="1" applyBorder="1" applyAlignment="1">
      <alignment horizontal="center" vertical="center" wrapText="1"/>
    </xf>
    <xf numFmtId="0" fontId="4" fillId="0" borderId="4" xfId="0" applyFont="1" applyBorder="1"/>
    <xf numFmtId="0" fontId="0" fillId="0" borderId="5" xfId="0" applyBorder="1"/>
    <xf numFmtId="0" fontId="4" fillId="0" borderId="5" xfId="0" applyFont="1" applyBorder="1"/>
    <xf numFmtId="0" fontId="5" fillId="0" borderId="4" xfId="0" applyFont="1" applyBorder="1" applyAlignment="1">
      <alignment horizontal="center" vertical="center" wrapText="1"/>
    </xf>
    <xf numFmtId="9" fontId="4" fillId="0" borderId="4" xfId="0" applyNumberFormat="1" applyFont="1" applyBorder="1" applyAlignment="1">
      <alignment vertical="center"/>
    </xf>
    <xf numFmtId="9" fontId="5" fillId="0" borderId="5" xfId="0" applyNumberFormat="1" applyFont="1" applyBorder="1" applyAlignment="1">
      <alignment vertical="center"/>
    </xf>
    <xf numFmtId="9" fontId="4" fillId="0" borderId="5" xfId="0" applyNumberFormat="1" applyFont="1" applyBorder="1" applyAlignment="1">
      <alignment vertical="center"/>
    </xf>
    <xf numFmtId="0" fontId="5" fillId="0" borderId="5" xfId="0" applyFont="1" applyBorder="1" applyAlignment="1">
      <alignment vertical="center"/>
    </xf>
    <xf numFmtId="0" fontId="5" fillId="0" borderId="4" xfId="0" applyFont="1" applyBorder="1" applyAlignment="1">
      <alignment horizontal="right" vertical="center"/>
    </xf>
    <xf numFmtId="0" fontId="0" fillId="0" borderId="5" xfId="0" applyBorder="1" applyAlignment="1">
      <alignment horizontal="right" vertical="center"/>
    </xf>
    <xf numFmtId="0" fontId="4" fillId="0" borderId="4" xfId="0" applyFont="1" applyBorder="1" applyAlignment="1">
      <alignment horizontal="right" vertical="center"/>
    </xf>
    <xf numFmtId="0" fontId="4" fillId="0" borderId="5" xfId="0" applyFont="1" applyBorder="1" applyAlignment="1">
      <alignment horizontal="right" vertical="center"/>
    </xf>
    <xf numFmtId="0" fontId="6" fillId="0" borderId="0" xfId="0" applyFont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0" fontId="6" fillId="0" borderId="4" xfId="0" applyFont="1" applyBorder="1" applyAlignment="1">
      <alignment horizontal="left" vertical="center"/>
    </xf>
    <xf numFmtId="0" fontId="6" fillId="0" borderId="5" xfId="0" applyFont="1" applyBorder="1" applyAlignment="1">
      <alignment horizontal="left" vertical="center"/>
    </xf>
    <xf numFmtId="0" fontId="7" fillId="0" borderId="5" xfId="0" applyFont="1" applyBorder="1" applyAlignment="1">
      <alignment horizontal="left" vertical="center"/>
    </xf>
    <xf numFmtId="0" fontId="7" fillId="0" borderId="5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6" fillId="0" borderId="2" xfId="0" applyFont="1" applyBorder="1" applyAlignment="1">
      <alignment horizontal="left" vertical="center"/>
    </xf>
    <xf numFmtId="0" fontId="7" fillId="0" borderId="7" xfId="0" applyFont="1" applyBorder="1" applyAlignment="1">
      <alignment horizontal="left" vertical="center"/>
    </xf>
    <xf numFmtId="0" fontId="4" fillId="0" borderId="5" xfId="0" applyFont="1" applyBorder="1" applyAlignment="1">
      <alignment horizontal="left" vertical="center" wrapText="1"/>
    </xf>
    <xf numFmtId="9" fontId="5" fillId="0" borderId="4" xfId="0" applyNumberFormat="1" applyFont="1" applyBorder="1" applyAlignment="1"/>
    <xf numFmtId="9" fontId="4" fillId="0" borderId="5" xfId="0" applyNumberFormat="1" applyFont="1" applyBorder="1" applyAlignment="1"/>
    <xf numFmtId="0" fontId="4" fillId="0" borderId="4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10" fillId="0" borderId="9" xfId="0" applyFont="1" applyBorder="1" applyAlignment="1">
      <alignment horizontal="left" vertical="center" wrapText="1"/>
    </xf>
    <xf numFmtId="0" fontId="9" fillId="0" borderId="5" xfId="0" applyFont="1" applyBorder="1" applyAlignment="1">
      <alignment horizontal="left" vertical="center" wrapText="1"/>
    </xf>
    <xf numFmtId="9" fontId="12" fillId="0" borderId="8" xfId="0" applyNumberFormat="1" applyFont="1" applyBorder="1" applyAlignment="1">
      <alignment vertical="center"/>
    </xf>
    <xf numFmtId="9" fontId="5" fillId="0" borderId="5" xfId="0" applyNumberFormat="1" applyFont="1" applyBorder="1" applyAlignment="1"/>
    <xf numFmtId="9" fontId="5" fillId="0" borderId="8" xfId="0" applyNumberFormat="1" applyFont="1" applyBorder="1" applyAlignment="1">
      <alignment vertical="center"/>
    </xf>
    <xf numFmtId="0" fontId="5" fillId="0" borderId="5" xfId="0" applyFont="1" applyBorder="1" applyAlignment="1">
      <alignment horizontal="left" vertical="center" wrapText="1"/>
    </xf>
    <xf numFmtId="0" fontId="4" fillId="0" borderId="4" xfId="0" applyFont="1" applyBorder="1" applyAlignment="1">
      <alignment horizontal="left" vertical="center" wrapText="1"/>
    </xf>
    <xf numFmtId="0" fontId="6" fillId="0" borderId="5" xfId="0" applyFont="1" applyBorder="1" applyAlignment="1">
      <alignment horizontal="left" vertical="center" wrapText="1"/>
    </xf>
    <xf numFmtId="0" fontId="6" fillId="0" borderId="1" xfId="0" applyFont="1" applyBorder="1" applyAlignment="1">
      <alignment horizontal="left" vertical="center" wrapText="1"/>
    </xf>
    <xf numFmtId="0" fontId="10" fillId="0" borderId="5" xfId="0" applyFont="1" applyBorder="1" applyAlignment="1">
      <alignment horizontal="left" vertical="center" wrapText="1"/>
    </xf>
    <xf numFmtId="0" fontId="4" fillId="0" borderId="5" xfId="0" applyFont="1" applyBorder="1" applyAlignment="1">
      <alignment wrapText="1"/>
    </xf>
    <xf numFmtId="9" fontId="4" fillId="0" borderId="0" xfId="2" applyFont="1" applyAlignment="1"/>
    <xf numFmtId="9" fontId="4" fillId="0" borderId="0" xfId="2" applyFont="1" applyFill="1" applyBorder="1" applyAlignment="1"/>
    <xf numFmtId="9" fontId="13" fillId="0" borderId="3" xfId="2" applyFont="1" applyBorder="1" applyAlignment="1">
      <alignment vertical="center"/>
    </xf>
    <xf numFmtId="9" fontId="13" fillId="0" borderId="8" xfId="2" applyFont="1" applyBorder="1" applyAlignment="1">
      <alignment vertical="center"/>
    </xf>
    <xf numFmtId="10" fontId="13" fillId="0" borderId="8" xfId="2" applyNumberFormat="1" applyFont="1" applyBorder="1" applyAlignment="1">
      <alignment vertical="center"/>
    </xf>
    <xf numFmtId="164" fontId="4" fillId="0" borderId="4" xfId="2" applyNumberFormat="1" applyFont="1" applyBorder="1" applyAlignment="1"/>
    <xf numFmtId="164" fontId="4" fillId="0" borderId="4" xfId="0" applyNumberFormat="1" applyFont="1" applyBorder="1" applyAlignment="1"/>
    <xf numFmtId="9" fontId="5" fillId="0" borderId="5" xfId="2" applyFont="1" applyBorder="1" applyAlignment="1"/>
    <xf numFmtId="164" fontId="4" fillId="0" borderId="5" xfId="0" applyNumberFormat="1" applyFont="1" applyBorder="1" applyAlignment="1"/>
    <xf numFmtId="0" fontId="1" fillId="2" borderId="1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 wrapText="1"/>
    </xf>
    <xf numFmtId="0" fontId="3" fillId="2" borderId="2" xfId="1" applyFont="1" applyFill="1" applyBorder="1" applyAlignment="1">
      <alignment horizontal="center" vertical="top" textRotation="180"/>
    </xf>
    <xf numFmtId="0" fontId="3" fillId="2" borderId="3" xfId="1" applyFont="1" applyFill="1" applyBorder="1" applyAlignment="1">
      <alignment horizontal="center" vertical="top" textRotation="180"/>
    </xf>
    <xf numFmtId="0" fontId="4" fillId="0" borderId="5" xfId="0" applyFont="1" applyBorder="1" applyAlignment="1">
      <alignment horizontal="center"/>
    </xf>
    <xf numFmtId="0" fontId="5" fillId="0" borderId="5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 wrapText="1"/>
    </xf>
    <xf numFmtId="164" fontId="4" fillId="0" borderId="5" xfId="0" applyNumberFormat="1" applyFont="1" applyFill="1" applyBorder="1" applyAlignment="1"/>
    <xf numFmtId="164" fontId="4" fillId="0" borderId="5" xfId="2" applyNumberFormat="1" applyFont="1" applyBorder="1" applyAlignment="1"/>
    <xf numFmtId="9" fontId="4" fillId="0" borderId="5" xfId="2" applyFont="1" applyBorder="1" applyAlignment="1"/>
    <xf numFmtId="0" fontId="5" fillId="0" borderId="2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9" fontId="5" fillId="0" borderId="3" xfId="0" applyNumberFormat="1" applyFont="1" applyBorder="1" applyAlignment="1">
      <alignment vertical="center"/>
    </xf>
  </cellXfs>
  <cellStyles count="3">
    <cellStyle name="Normal" xfId="0" builtinId="0"/>
    <cellStyle name="Normal_Template_UnitTest Case_v0.9" xfId="1" xr:uid="{00000000-0005-0000-0000-000001000000}"/>
    <cellStyle name="Percent" xfId="2" builtinId="5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108"/>
  <sheetViews>
    <sheetView tabSelected="1" topLeftCell="A83" workbookViewId="0">
      <selection activeCell="Q104" sqref="Q104"/>
    </sheetView>
  </sheetViews>
  <sheetFormatPr defaultRowHeight="15"/>
  <cols>
    <col min="1" max="1" width="5.42578125" bestFit="1" customWidth="1"/>
    <col min="2" max="2" width="25" bestFit="1" customWidth="1"/>
    <col min="3" max="3" width="27.42578125" customWidth="1"/>
    <col min="4" max="4" width="30.140625" customWidth="1"/>
    <col min="5" max="5" width="29" customWidth="1"/>
    <col min="6" max="11" width="10.140625" bestFit="1" customWidth="1"/>
  </cols>
  <sheetData>
    <row r="1" spans="1:13" ht="117.75" customHeight="1">
      <c r="A1" s="49" t="s">
        <v>0</v>
      </c>
      <c r="B1" s="49" t="s">
        <v>1</v>
      </c>
      <c r="C1" s="49" t="s">
        <v>2</v>
      </c>
      <c r="D1" s="49" t="s">
        <v>3</v>
      </c>
      <c r="E1" s="49" t="s">
        <v>4</v>
      </c>
      <c r="F1" s="57" t="s">
        <v>18</v>
      </c>
      <c r="G1" s="58"/>
      <c r="H1" s="57" t="s">
        <v>19</v>
      </c>
      <c r="I1" s="58"/>
      <c r="J1" s="57" t="s">
        <v>20</v>
      </c>
      <c r="K1" s="58"/>
      <c r="L1" s="57" t="s">
        <v>21</v>
      </c>
      <c r="M1" s="58"/>
    </row>
    <row r="2" spans="1:13" ht="99">
      <c r="A2" s="50"/>
      <c r="B2" s="50"/>
      <c r="C2" s="50"/>
      <c r="D2" s="50"/>
      <c r="E2" s="50"/>
      <c r="F2" s="1" t="s">
        <v>5</v>
      </c>
      <c r="G2" s="1" t="s">
        <v>6</v>
      </c>
      <c r="H2" s="1" t="s">
        <v>5</v>
      </c>
      <c r="I2" s="1" t="s">
        <v>6</v>
      </c>
      <c r="J2" s="1" t="s">
        <v>5</v>
      </c>
      <c r="K2" s="1" t="s">
        <v>6</v>
      </c>
      <c r="L2" s="1" t="s">
        <v>5</v>
      </c>
      <c r="M2" s="1" t="s">
        <v>6</v>
      </c>
    </row>
    <row r="3" spans="1:13">
      <c r="A3" s="2">
        <v>8</v>
      </c>
      <c r="B3" s="55" t="s">
        <v>7</v>
      </c>
      <c r="C3" s="6" t="s">
        <v>22</v>
      </c>
      <c r="D3" s="27"/>
      <c r="E3" s="25">
        <v>0.1</v>
      </c>
      <c r="F3" s="11">
        <f>calculateMark(5,F4:F15)</f>
        <v>8</v>
      </c>
      <c r="G3" s="11" t="str">
        <f t="shared" ref="G3:M3" si="0">calculateMark(5,G4:G15)</f>
        <v/>
      </c>
      <c r="H3" s="11">
        <f t="shared" si="0"/>
        <v>8</v>
      </c>
      <c r="I3" s="11" t="str">
        <f t="shared" si="0"/>
        <v/>
      </c>
      <c r="J3" s="11">
        <f t="shared" si="0"/>
        <v>8</v>
      </c>
      <c r="K3" s="11" t="str">
        <f t="shared" si="0"/>
        <v/>
      </c>
      <c r="L3" s="11">
        <f t="shared" si="0"/>
        <v>8</v>
      </c>
      <c r="M3" s="11" t="str">
        <f t="shared" si="0"/>
        <v/>
      </c>
    </row>
    <row r="4" spans="1:13" ht="30">
      <c r="A4" s="2">
        <v>11</v>
      </c>
      <c r="B4" s="55"/>
      <c r="C4" s="18" t="s">
        <v>26</v>
      </c>
      <c r="D4" s="35" t="s">
        <v>90</v>
      </c>
      <c r="E4" s="45">
        <v>8.0000000000000002E-3</v>
      </c>
      <c r="F4" s="13"/>
      <c r="G4" s="13"/>
      <c r="H4" s="13">
        <v>8</v>
      </c>
      <c r="I4" s="13"/>
      <c r="J4" s="13"/>
      <c r="K4" s="13"/>
      <c r="L4" s="13"/>
      <c r="M4" s="13"/>
    </row>
    <row r="5" spans="1:13" ht="30">
      <c r="A5" s="2">
        <v>12</v>
      </c>
      <c r="B5" s="55"/>
      <c r="C5" s="16" t="s">
        <v>24</v>
      </c>
      <c r="D5" s="35" t="s">
        <v>89</v>
      </c>
      <c r="E5" s="46">
        <v>8.0000000000000002E-3</v>
      </c>
      <c r="F5" s="13">
        <v>8</v>
      </c>
      <c r="G5" s="13"/>
      <c r="H5" s="13"/>
      <c r="I5" s="13"/>
      <c r="J5" s="13"/>
      <c r="K5" s="13"/>
      <c r="L5" s="13"/>
      <c r="M5" s="13"/>
    </row>
    <row r="6" spans="1:13" ht="30">
      <c r="A6" s="2"/>
      <c r="B6" s="55"/>
      <c r="C6" s="16" t="s">
        <v>42</v>
      </c>
      <c r="D6" s="35" t="s">
        <v>91</v>
      </c>
      <c r="E6" s="46">
        <v>8.0000000000000002E-3</v>
      </c>
      <c r="F6" s="12"/>
      <c r="G6" s="13"/>
      <c r="H6" s="13">
        <v>8</v>
      </c>
      <c r="I6" s="13"/>
      <c r="J6" s="13"/>
      <c r="K6" s="13"/>
      <c r="L6" s="13"/>
      <c r="M6" s="13"/>
    </row>
    <row r="7" spans="1:13" ht="30">
      <c r="A7" s="2">
        <v>18</v>
      </c>
      <c r="B7" s="55"/>
      <c r="C7" s="16" t="s">
        <v>33</v>
      </c>
      <c r="D7" s="35" t="s">
        <v>92</v>
      </c>
      <c r="E7" s="46">
        <v>8.0000000000000002E-3</v>
      </c>
      <c r="F7" s="13"/>
      <c r="G7" s="13"/>
      <c r="H7" s="13"/>
      <c r="I7" s="13"/>
      <c r="J7" s="13">
        <v>8</v>
      </c>
      <c r="K7" s="13"/>
      <c r="L7" s="13"/>
      <c r="M7" s="13"/>
    </row>
    <row r="8" spans="1:13" ht="31.5">
      <c r="A8" s="2">
        <v>19</v>
      </c>
      <c r="B8" s="55"/>
      <c r="C8" s="37" t="s">
        <v>114</v>
      </c>
      <c r="D8" s="35" t="s">
        <v>115</v>
      </c>
      <c r="E8" s="46">
        <v>8.0000000000000002E-3</v>
      </c>
      <c r="F8" s="14"/>
      <c r="G8" s="13"/>
      <c r="H8" s="13"/>
      <c r="I8" s="13"/>
      <c r="J8" s="13"/>
      <c r="K8" s="13"/>
      <c r="L8" s="13">
        <v>8</v>
      </c>
      <c r="M8" s="13"/>
    </row>
    <row r="9" spans="1:13" ht="60">
      <c r="A9" s="2">
        <v>20</v>
      </c>
      <c r="B9" s="55"/>
      <c r="C9" s="37" t="s">
        <v>116</v>
      </c>
      <c r="D9" s="35" t="s">
        <v>117</v>
      </c>
      <c r="E9" s="46">
        <v>8.0000000000000002E-3</v>
      </c>
      <c r="F9" s="13"/>
      <c r="G9" s="13"/>
      <c r="H9" s="13"/>
      <c r="I9" s="13"/>
      <c r="J9" s="13">
        <v>8</v>
      </c>
      <c r="K9" s="13"/>
      <c r="L9" s="13"/>
      <c r="M9" s="13"/>
    </row>
    <row r="10" spans="1:13" ht="60">
      <c r="A10" s="2"/>
      <c r="B10" s="55"/>
      <c r="C10" s="18" t="s">
        <v>50</v>
      </c>
      <c r="D10" s="35" t="s">
        <v>104</v>
      </c>
      <c r="E10" s="46">
        <v>8.0000000000000002E-3</v>
      </c>
      <c r="F10" s="11"/>
      <c r="G10" s="13"/>
      <c r="H10" s="13"/>
      <c r="I10" s="13"/>
      <c r="J10" s="13">
        <v>8</v>
      </c>
      <c r="K10" s="13"/>
      <c r="L10" s="13"/>
      <c r="M10" s="13"/>
    </row>
    <row r="11" spans="1:13" ht="30">
      <c r="A11" s="2"/>
      <c r="B11" s="55"/>
      <c r="C11" s="17" t="s">
        <v>25</v>
      </c>
      <c r="D11" s="35" t="s">
        <v>93</v>
      </c>
      <c r="E11" s="46">
        <v>8.0000000000000002E-3</v>
      </c>
      <c r="F11" s="14">
        <v>8</v>
      </c>
      <c r="G11" s="13"/>
      <c r="H11" s="13"/>
      <c r="I11" s="13"/>
      <c r="J11" s="13"/>
      <c r="K11" s="13"/>
      <c r="L11" s="13"/>
      <c r="M11" s="13"/>
    </row>
    <row r="12" spans="1:13" ht="30">
      <c r="A12" s="2"/>
      <c r="B12" s="55"/>
      <c r="C12" s="17" t="s">
        <v>51</v>
      </c>
      <c r="D12" s="35" t="s">
        <v>94</v>
      </c>
      <c r="E12" s="46">
        <v>8.0000000000000002E-3</v>
      </c>
      <c r="F12" s="14">
        <v>8</v>
      </c>
      <c r="G12" s="13"/>
      <c r="H12" s="13"/>
      <c r="I12" s="13"/>
      <c r="J12" s="13"/>
      <c r="K12" s="13"/>
      <c r="L12" s="13"/>
      <c r="M12" s="13"/>
    </row>
    <row r="13" spans="1:13" ht="30">
      <c r="A13" s="2"/>
      <c r="B13" s="55"/>
      <c r="C13" s="18" t="s">
        <v>27</v>
      </c>
      <c r="D13" s="35" t="s">
        <v>95</v>
      </c>
      <c r="E13" s="46">
        <v>8.0000000000000002E-3</v>
      </c>
      <c r="F13" s="14"/>
      <c r="G13" s="13"/>
      <c r="H13" s="13"/>
      <c r="I13" s="13"/>
      <c r="J13" s="13"/>
      <c r="K13" s="13"/>
      <c r="L13" s="13">
        <v>8</v>
      </c>
      <c r="M13" s="13"/>
    </row>
    <row r="14" spans="1:13" ht="30">
      <c r="A14" s="2"/>
      <c r="B14" s="55"/>
      <c r="C14" s="18" t="s">
        <v>44</v>
      </c>
      <c r="D14" s="35" t="s">
        <v>96</v>
      </c>
      <c r="E14" s="46">
        <v>8.0000000000000002E-3</v>
      </c>
      <c r="F14" s="14"/>
      <c r="G14" s="13"/>
      <c r="H14" s="13">
        <v>8</v>
      </c>
      <c r="I14" s="13"/>
      <c r="J14" s="13"/>
      <c r="K14" s="13"/>
      <c r="L14" s="13"/>
      <c r="M14" s="13"/>
    </row>
    <row r="15" spans="1:13" ht="15.75">
      <c r="A15" s="27"/>
      <c r="B15" s="55"/>
      <c r="C15" s="18" t="s">
        <v>43</v>
      </c>
      <c r="D15" s="35" t="s">
        <v>97</v>
      </c>
      <c r="E15" s="46">
        <v>8.0000000000000002E-3</v>
      </c>
      <c r="F15" s="14"/>
      <c r="G15" s="13"/>
      <c r="H15" s="13">
        <v>8</v>
      </c>
      <c r="I15" s="13"/>
      <c r="J15" s="13"/>
      <c r="K15" s="13"/>
      <c r="L15" s="13"/>
      <c r="M15" s="13"/>
    </row>
    <row r="16" spans="1:13" ht="15.75">
      <c r="A16" s="27"/>
      <c r="B16" s="55"/>
      <c r="C16" s="20" t="s">
        <v>35</v>
      </c>
      <c r="D16" s="23"/>
      <c r="E16" s="25">
        <v>0.1</v>
      </c>
      <c r="F16" s="11">
        <f>calculateMark(5,F17:F22)</f>
        <v>8</v>
      </c>
      <c r="G16" s="11" t="str">
        <f t="shared" ref="G16:M16" si="1">calculateMark(5,G17:G22)</f>
        <v/>
      </c>
      <c r="H16" s="11">
        <f t="shared" si="1"/>
        <v>8</v>
      </c>
      <c r="I16" s="11" t="str">
        <f t="shared" si="1"/>
        <v/>
      </c>
      <c r="J16" s="11">
        <f t="shared" si="1"/>
        <v>8</v>
      </c>
      <c r="K16" s="11" t="str">
        <f t="shared" si="1"/>
        <v/>
      </c>
      <c r="L16" s="11">
        <f t="shared" si="1"/>
        <v>8</v>
      </c>
      <c r="M16" s="11" t="str">
        <f t="shared" si="1"/>
        <v/>
      </c>
    </row>
    <row r="17" spans="1:13" ht="30">
      <c r="A17" s="27"/>
      <c r="B17" s="55"/>
      <c r="C17" s="18" t="s">
        <v>28</v>
      </c>
      <c r="D17" s="35" t="s">
        <v>98</v>
      </c>
      <c r="E17" s="63">
        <v>1.6E-2</v>
      </c>
      <c r="F17" s="14"/>
      <c r="G17" s="13"/>
      <c r="H17" s="13">
        <v>8</v>
      </c>
      <c r="I17" s="13"/>
      <c r="J17" s="13"/>
      <c r="K17" s="13"/>
      <c r="L17" s="13"/>
      <c r="M17" s="13"/>
    </row>
    <row r="18" spans="1:13" ht="47.25">
      <c r="A18" s="27"/>
      <c r="B18" s="55"/>
      <c r="C18" s="18" t="s">
        <v>29</v>
      </c>
      <c r="D18" s="36" t="s">
        <v>99</v>
      </c>
      <c r="E18" s="63">
        <v>1.6E-2</v>
      </c>
      <c r="F18" s="14">
        <v>8</v>
      </c>
      <c r="G18" s="13"/>
      <c r="H18" s="13"/>
      <c r="I18" s="13"/>
      <c r="J18" s="13"/>
      <c r="K18" s="13"/>
      <c r="L18" s="13"/>
      <c r="M18" s="13"/>
    </row>
    <row r="19" spans="1:13" ht="30">
      <c r="A19" s="27"/>
      <c r="B19" s="55"/>
      <c r="C19" s="18" t="s">
        <v>30</v>
      </c>
      <c r="D19" s="35" t="s">
        <v>100</v>
      </c>
      <c r="E19" s="63">
        <v>1.6E-2</v>
      </c>
      <c r="F19" s="14"/>
      <c r="G19" s="13"/>
      <c r="H19" s="13"/>
      <c r="I19" s="13"/>
      <c r="J19" s="13">
        <v>8</v>
      </c>
      <c r="K19" s="13"/>
      <c r="L19" s="13"/>
      <c r="M19" s="13"/>
    </row>
    <row r="20" spans="1:13" ht="45">
      <c r="A20" s="27"/>
      <c r="B20" s="55"/>
      <c r="C20" s="18" t="s">
        <v>31</v>
      </c>
      <c r="D20" s="35" t="s">
        <v>101</v>
      </c>
      <c r="E20" s="63">
        <v>1.6E-2</v>
      </c>
      <c r="F20" s="14"/>
      <c r="G20" s="13"/>
      <c r="H20" s="13"/>
      <c r="I20" s="13"/>
      <c r="J20" s="13"/>
      <c r="K20" s="13"/>
      <c r="L20" s="13">
        <v>8</v>
      </c>
      <c r="M20" s="13"/>
    </row>
    <row r="21" spans="1:13" ht="30">
      <c r="A21" s="27"/>
      <c r="B21" s="55"/>
      <c r="C21" s="18" t="s">
        <v>32</v>
      </c>
      <c r="D21" s="35" t="s">
        <v>102</v>
      </c>
      <c r="E21" s="63">
        <v>1.6E-2</v>
      </c>
      <c r="F21" s="14"/>
      <c r="G21" s="13"/>
      <c r="H21" s="13"/>
      <c r="I21" s="13"/>
      <c r="J21" s="13">
        <v>8</v>
      </c>
      <c r="K21" s="13"/>
      <c r="L21" s="13"/>
      <c r="M21" s="13"/>
    </row>
    <row r="22" spans="1:13" ht="60">
      <c r="A22" s="27"/>
      <c r="B22" s="55"/>
      <c r="C22" s="15" t="s">
        <v>55</v>
      </c>
      <c r="D22" s="35" t="s">
        <v>103</v>
      </c>
      <c r="E22" s="63">
        <v>1.6E-2</v>
      </c>
      <c r="F22" s="14">
        <v>8</v>
      </c>
      <c r="G22" s="13"/>
      <c r="H22" s="13"/>
      <c r="I22" s="13"/>
      <c r="J22" s="13"/>
      <c r="K22" s="13"/>
      <c r="L22" s="13"/>
      <c r="M22" s="13"/>
    </row>
    <row r="23" spans="1:13" ht="15.75">
      <c r="A23" s="27"/>
      <c r="B23" s="55"/>
      <c r="C23" s="20" t="s">
        <v>15</v>
      </c>
      <c r="D23" s="23"/>
      <c r="E23" s="25">
        <v>0.1</v>
      </c>
      <c r="F23" s="11">
        <f>calculateMark(5,F24:F27)</f>
        <v>8</v>
      </c>
      <c r="G23" s="11" t="str">
        <f t="shared" ref="G23:M23" si="2">calculateMark(5,G24:G27)</f>
        <v/>
      </c>
      <c r="H23" s="11">
        <f t="shared" si="2"/>
        <v>8</v>
      </c>
      <c r="I23" s="11" t="str">
        <f t="shared" si="2"/>
        <v/>
      </c>
      <c r="J23" s="11">
        <f t="shared" si="2"/>
        <v>8</v>
      </c>
      <c r="K23" s="11" t="str">
        <f t="shared" si="2"/>
        <v/>
      </c>
      <c r="L23" s="11">
        <f t="shared" si="2"/>
        <v>8</v>
      </c>
      <c r="M23" s="11" t="str">
        <f t="shared" si="2"/>
        <v/>
      </c>
    </row>
    <row r="24" spans="1:13" ht="60">
      <c r="A24" s="27"/>
      <c r="B24" s="55"/>
      <c r="C24" s="18" t="s">
        <v>52</v>
      </c>
      <c r="D24" s="35" t="s">
        <v>105</v>
      </c>
      <c r="E24" s="64">
        <v>2.5000000000000001E-2</v>
      </c>
      <c r="F24" s="14"/>
      <c r="G24" s="13"/>
      <c r="H24" s="13"/>
      <c r="I24" s="13"/>
      <c r="J24" s="13"/>
      <c r="K24" s="13"/>
      <c r="L24" s="13">
        <v>8</v>
      </c>
      <c r="M24" s="13"/>
    </row>
    <row r="25" spans="1:13" ht="15.75">
      <c r="A25" s="27"/>
      <c r="B25" s="55"/>
      <c r="C25" s="18" t="s">
        <v>53</v>
      </c>
      <c r="D25" s="35" t="s">
        <v>106</v>
      </c>
      <c r="E25" s="64">
        <v>2.5000000000000001E-2</v>
      </c>
      <c r="F25" s="14">
        <v>8</v>
      </c>
      <c r="G25" s="13"/>
      <c r="H25" s="13"/>
      <c r="I25" s="13"/>
      <c r="J25" s="13"/>
      <c r="K25" s="13"/>
      <c r="L25" s="13"/>
      <c r="M25" s="13"/>
    </row>
    <row r="26" spans="1:13" ht="30">
      <c r="A26" s="27"/>
      <c r="B26" s="55"/>
      <c r="C26" s="18" t="s">
        <v>54</v>
      </c>
      <c r="D26" s="35" t="s">
        <v>107</v>
      </c>
      <c r="E26" s="64">
        <v>2.5000000000000001E-2</v>
      </c>
      <c r="F26" s="14"/>
      <c r="G26" s="13"/>
      <c r="H26" s="13">
        <v>8</v>
      </c>
      <c r="I26" s="13"/>
      <c r="J26" s="13"/>
      <c r="K26" s="13"/>
      <c r="L26" s="13"/>
      <c r="M26" s="13"/>
    </row>
    <row r="27" spans="1:13" ht="45">
      <c r="A27" s="27"/>
      <c r="B27" s="55"/>
      <c r="C27" s="18" t="s">
        <v>56</v>
      </c>
      <c r="D27" s="35" t="s">
        <v>108</v>
      </c>
      <c r="E27" s="64">
        <v>2.5000000000000001E-2</v>
      </c>
      <c r="F27" s="14"/>
      <c r="G27" s="13"/>
      <c r="H27" s="13"/>
      <c r="I27" s="13"/>
      <c r="J27" s="13">
        <v>8</v>
      </c>
      <c r="K27" s="13"/>
      <c r="L27" s="13"/>
      <c r="M27" s="13"/>
    </row>
    <row r="28" spans="1:13" ht="15.75">
      <c r="A28" s="27"/>
      <c r="B28" s="55"/>
      <c r="C28" s="20" t="s">
        <v>34</v>
      </c>
      <c r="D28" s="23"/>
      <c r="E28" s="25">
        <v>0.08</v>
      </c>
      <c r="F28" s="11">
        <f>calculateMark(5,F29:F32)</f>
        <v>8</v>
      </c>
      <c r="G28" s="11" t="str">
        <f t="shared" ref="G28:M28" si="3">calculateMark(5,G29:G32)</f>
        <v/>
      </c>
      <c r="H28" s="11">
        <f t="shared" si="3"/>
        <v>8</v>
      </c>
      <c r="I28" s="11" t="str">
        <f t="shared" si="3"/>
        <v/>
      </c>
      <c r="J28" s="11" t="str">
        <f t="shared" si="3"/>
        <v/>
      </c>
      <c r="K28" s="11" t="str">
        <f t="shared" si="3"/>
        <v/>
      </c>
      <c r="L28" s="11" t="str">
        <f t="shared" si="3"/>
        <v/>
      </c>
      <c r="M28" s="11" t="str">
        <f t="shared" si="3"/>
        <v/>
      </c>
    </row>
    <row r="29" spans="1:13" ht="90">
      <c r="A29" s="27"/>
      <c r="B29" s="55"/>
      <c r="C29" s="18" t="s">
        <v>36</v>
      </c>
      <c r="D29" s="35" t="s">
        <v>109</v>
      </c>
      <c r="E29" s="40">
        <v>0.02</v>
      </c>
      <c r="F29" s="14"/>
      <c r="G29" s="13"/>
      <c r="H29" s="13">
        <v>8</v>
      </c>
      <c r="I29" s="13"/>
      <c r="J29" s="13"/>
      <c r="K29" s="13"/>
      <c r="L29" s="13"/>
      <c r="M29" s="13"/>
    </row>
    <row r="30" spans="1:13" ht="45">
      <c r="A30" s="27"/>
      <c r="B30" s="55"/>
      <c r="C30" s="18" t="s">
        <v>37</v>
      </c>
      <c r="D30" s="35" t="s">
        <v>110</v>
      </c>
      <c r="E30" s="40">
        <v>0.02</v>
      </c>
      <c r="F30" s="14"/>
      <c r="G30" s="13"/>
      <c r="H30" s="13">
        <v>8</v>
      </c>
      <c r="I30" s="13"/>
      <c r="J30" s="13"/>
      <c r="K30" s="13"/>
      <c r="L30" s="13"/>
      <c r="M30" s="13"/>
    </row>
    <row r="31" spans="1:13" ht="60">
      <c r="A31" s="27"/>
      <c r="B31" s="55"/>
      <c r="C31" s="18" t="s">
        <v>119</v>
      </c>
      <c r="D31" s="35" t="s">
        <v>120</v>
      </c>
      <c r="E31" s="65">
        <v>0.02</v>
      </c>
      <c r="F31" s="14">
        <v>8</v>
      </c>
      <c r="G31" s="13"/>
      <c r="H31" s="13"/>
      <c r="I31" s="13"/>
      <c r="J31" s="13"/>
      <c r="K31" s="13"/>
      <c r="L31" s="13"/>
      <c r="M31" s="13"/>
    </row>
    <row r="32" spans="1:13" ht="45">
      <c r="A32" s="27"/>
      <c r="B32" s="55"/>
      <c r="C32" s="18" t="s">
        <v>38</v>
      </c>
      <c r="D32" s="35" t="s">
        <v>111</v>
      </c>
      <c r="E32" s="65">
        <v>0.02</v>
      </c>
      <c r="F32" s="14">
        <v>8</v>
      </c>
      <c r="G32" s="13"/>
      <c r="H32" s="13"/>
      <c r="I32" s="13"/>
      <c r="J32" s="13"/>
      <c r="K32" s="13"/>
      <c r="L32" s="13"/>
      <c r="M32" s="13"/>
    </row>
    <row r="33" spans="1:13" ht="15.75">
      <c r="A33" s="27"/>
      <c r="B33" s="55"/>
      <c r="C33" s="21" t="s">
        <v>39</v>
      </c>
      <c r="D33" s="23"/>
      <c r="E33" s="31">
        <v>0.02</v>
      </c>
      <c r="F33" s="11">
        <f>calculateMark(5,F34:F35)</f>
        <v>8</v>
      </c>
      <c r="G33" s="11" t="str">
        <f t="shared" ref="G33:M33" si="4">calculateMark(5,G34:G35)</f>
        <v/>
      </c>
      <c r="H33" s="11" t="str">
        <f t="shared" si="4"/>
        <v/>
      </c>
      <c r="I33" s="11" t="str">
        <f t="shared" si="4"/>
        <v/>
      </c>
      <c r="J33" s="11" t="str">
        <f t="shared" si="4"/>
        <v/>
      </c>
      <c r="K33" s="11" t="str">
        <f t="shared" si="4"/>
        <v/>
      </c>
      <c r="L33" s="11" t="str">
        <f t="shared" si="4"/>
        <v/>
      </c>
      <c r="M33" s="11" t="str">
        <f t="shared" si="4"/>
        <v/>
      </c>
    </row>
    <row r="34" spans="1:13" ht="30">
      <c r="A34" s="27"/>
      <c r="B34" s="55"/>
      <c r="C34" s="22" t="s">
        <v>40</v>
      </c>
      <c r="D34" s="35" t="s">
        <v>121</v>
      </c>
      <c r="E34" s="41">
        <v>0.01</v>
      </c>
      <c r="F34" s="14">
        <v>8</v>
      </c>
      <c r="G34" s="13"/>
      <c r="H34" s="13"/>
      <c r="I34" s="13"/>
      <c r="J34" s="13"/>
      <c r="K34" s="13"/>
      <c r="L34" s="13"/>
      <c r="M34" s="13"/>
    </row>
    <row r="35" spans="1:13" ht="45">
      <c r="A35" s="27"/>
      <c r="B35" s="55"/>
      <c r="C35" s="22" t="s">
        <v>41</v>
      </c>
      <c r="D35" s="35" t="s">
        <v>112</v>
      </c>
      <c r="E35" s="42">
        <v>0.01</v>
      </c>
      <c r="F35" s="14">
        <v>8</v>
      </c>
      <c r="G35" s="13"/>
      <c r="H35" s="13"/>
      <c r="I35" s="13"/>
      <c r="J35" s="13"/>
      <c r="K35" s="13"/>
      <c r="L35" s="13"/>
      <c r="M35" s="13"/>
    </row>
    <row r="36" spans="1:13" ht="15.75">
      <c r="A36" s="27"/>
      <c r="B36" s="55"/>
      <c r="C36" s="21" t="s">
        <v>46</v>
      </c>
      <c r="D36" s="19"/>
      <c r="E36" s="33">
        <v>0.3</v>
      </c>
      <c r="F36" s="11">
        <f>calculateMark(5,F37:F41)</f>
        <v>7</v>
      </c>
      <c r="G36" s="11" t="str">
        <f t="shared" ref="G36:M36" si="5">calculateMark(5,G37:G41)</f>
        <v/>
      </c>
      <c r="H36" s="11">
        <f t="shared" si="5"/>
        <v>8</v>
      </c>
      <c r="I36" s="11" t="str">
        <f t="shared" si="5"/>
        <v/>
      </c>
      <c r="J36" s="11">
        <f t="shared" si="5"/>
        <v>8</v>
      </c>
      <c r="K36" s="11" t="str">
        <f t="shared" si="5"/>
        <v/>
      </c>
      <c r="L36" s="11">
        <f t="shared" si="5"/>
        <v>6</v>
      </c>
      <c r="M36" s="11" t="str">
        <f t="shared" si="5"/>
        <v/>
      </c>
    </row>
    <row r="37" spans="1:13" ht="15.75">
      <c r="A37" s="27"/>
      <c r="B37" s="55"/>
      <c r="C37" s="22" t="s">
        <v>47</v>
      </c>
      <c r="D37" s="19"/>
      <c r="E37" s="43">
        <v>0.06</v>
      </c>
      <c r="F37" s="14">
        <v>7</v>
      </c>
      <c r="G37" s="13"/>
      <c r="H37" s="13"/>
      <c r="I37" s="13"/>
      <c r="J37" s="13"/>
      <c r="K37" s="13"/>
      <c r="L37" s="13"/>
      <c r="M37" s="13"/>
    </row>
    <row r="38" spans="1:13" ht="15.75">
      <c r="A38" s="27"/>
      <c r="B38" s="55"/>
      <c r="C38" s="22" t="s">
        <v>48</v>
      </c>
      <c r="D38" s="19"/>
      <c r="E38" s="43">
        <v>0.06</v>
      </c>
      <c r="F38" s="14"/>
      <c r="G38" s="13"/>
      <c r="H38" s="13">
        <v>8</v>
      </c>
      <c r="I38" s="13"/>
      <c r="J38" s="13"/>
      <c r="K38" s="13"/>
      <c r="L38" s="13"/>
      <c r="M38" s="13"/>
    </row>
    <row r="39" spans="1:13" ht="15.75">
      <c r="A39" s="27"/>
      <c r="B39" s="55"/>
      <c r="C39" s="22" t="s">
        <v>57</v>
      </c>
      <c r="D39" s="19"/>
      <c r="E39" s="43">
        <v>0.06</v>
      </c>
      <c r="F39" s="14"/>
      <c r="G39" s="13"/>
      <c r="H39" s="13"/>
      <c r="I39" s="13"/>
      <c r="J39" s="13"/>
      <c r="K39" s="13"/>
      <c r="L39" s="13">
        <v>6</v>
      </c>
      <c r="M39" s="13"/>
    </row>
    <row r="40" spans="1:13" ht="15.75">
      <c r="A40" s="27"/>
      <c r="B40" s="55"/>
      <c r="C40" s="22" t="s">
        <v>58</v>
      </c>
      <c r="D40" s="19"/>
      <c r="E40" s="43">
        <v>0.06</v>
      </c>
      <c r="F40" s="14"/>
      <c r="G40" s="13"/>
      <c r="H40" s="13"/>
      <c r="I40" s="13"/>
      <c r="J40" s="13">
        <v>8</v>
      </c>
      <c r="K40" s="13"/>
      <c r="L40" s="13"/>
      <c r="M40" s="13"/>
    </row>
    <row r="41" spans="1:13" ht="15.75">
      <c r="A41" s="27"/>
      <c r="B41" s="55"/>
      <c r="C41" s="22" t="s">
        <v>49</v>
      </c>
      <c r="D41" s="19"/>
      <c r="E41" s="43">
        <v>0.06</v>
      </c>
      <c r="F41" s="14"/>
      <c r="G41" s="13"/>
      <c r="H41" s="13">
        <v>8</v>
      </c>
      <c r="I41" s="13"/>
      <c r="J41" s="13"/>
      <c r="K41" s="13"/>
      <c r="L41" s="13"/>
      <c r="M41" s="13"/>
    </row>
    <row r="42" spans="1:13" ht="15.75">
      <c r="A42" s="27"/>
      <c r="B42" s="55"/>
      <c r="C42" s="21" t="s">
        <v>45</v>
      </c>
      <c r="D42" s="19"/>
      <c r="E42" s="31">
        <v>0.3</v>
      </c>
      <c r="F42" s="11">
        <f>calculateMark(5,F43:F71)</f>
        <v>7</v>
      </c>
      <c r="G42" s="11" t="str">
        <f t="shared" ref="G42:M42" si="6">calculateMark(5,G43:G71)</f>
        <v/>
      </c>
      <c r="H42" s="11">
        <f t="shared" si="6"/>
        <v>8</v>
      </c>
      <c r="I42" s="11" t="str">
        <f t="shared" si="6"/>
        <v/>
      </c>
      <c r="J42" s="11">
        <f t="shared" si="6"/>
        <v>7.7777777777777768</v>
      </c>
      <c r="K42" s="11" t="str">
        <f t="shared" si="6"/>
        <v/>
      </c>
      <c r="L42" s="11">
        <f t="shared" si="6"/>
        <v>7.166666666666667</v>
      </c>
      <c r="M42" s="11" t="str">
        <f t="shared" si="6"/>
        <v/>
      </c>
    </row>
    <row r="43" spans="1:13" ht="60">
      <c r="A43" s="27"/>
      <c r="B43" s="55"/>
      <c r="C43" s="24" t="s">
        <v>61</v>
      </c>
      <c r="D43" s="35" t="s">
        <v>113</v>
      </c>
      <c r="E43" s="44">
        <v>3.3999999999999998E-3</v>
      </c>
      <c r="F43" s="14">
        <v>7</v>
      </c>
      <c r="G43" s="13"/>
      <c r="H43" s="13"/>
      <c r="I43" s="13"/>
      <c r="J43" s="13"/>
      <c r="K43" s="13"/>
      <c r="L43" s="13"/>
      <c r="M43" s="13"/>
    </row>
    <row r="44" spans="1:13" ht="30">
      <c r="A44" s="27"/>
      <c r="B44" s="55"/>
      <c r="C44" s="34" t="s">
        <v>67</v>
      </c>
      <c r="D44" s="35" t="s">
        <v>92</v>
      </c>
      <c r="E44" s="44">
        <v>3.3999999999999998E-3</v>
      </c>
      <c r="F44" s="14"/>
      <c r="G44" s="13"/>
      <c r="H44" s="13">
        <v>8</v>
      </c>
      <c r="I44" s="13"/>
      <c r="J44" s="13"/>
      <c r="K44" s="13"/>
      <c r="L44" s="13"/>
      <c r="M44" s="13"/>
    </row>
    <row r="45" spans="1:13" ht="60">
      <c r="A45" s="27"/>
      <c r="B45" s="55"/>
      <c r="C45" s="34" t="s">
        <v>68</v>
      </c>
      <c r="D45" s="35" t="s">
        <v>104</v>
      </c>
      <c r="E45" s="44">
        <v>3.3999999999999998E-3</v>
      </c>
      <c r="F45" s="14"/>
      <c r="G45" s="13"/>
      <c r="H45" s="13"/>
      <c r="I45" s="13"/>
      <c r="J45" s="13"/>
      <c r="K45" s="13"/>
      <c r="L45" s="13">
        <v>7</v>
      </c>
      <c r="M45" s="13"/>
    </row>
    <row r="46" spans="1:13" ht="30">
      <c r="A46" s="27"/>
      <c r="B46" s="55"/>
      <c r="C46" s="34" t="s">
        <v>69</v>
      </c>
      <c r="D46" s="35" t="s">
        <v>91</v>
      </c>
      <c r="E46" s="44">
        <v>3.3999999999999998E-3</v>
      </c>
      <c r="F46" s="14"/>
      <c r="G46" s="13"/>
      <c r="H46" s="13"/>
      <c r="I46" s="13"/>
      <c r="J46" s="13"/>
      <c r="K46" s="13"/>
      <c r="L46" s="13">
        <v>7</v>
      </c>
      <c r="M46" s="13"/>
    </row>
    <row r="47" spans="1:13" ht="30">
      <c r="A47" s="27"/>
      <c r="B47" s="55"/>
      <c r="C47" s="34" t="s">
        <v>70</v>
      </c>
      <c r="D47" s="35" t="s">
        <v>90</v>
      </c>
      <c r="E47" s="44">
        <v>3.3999999999999998E-3</v>
      </c>
      <c r="F47" s="14"/>
      <c r="G47" s="13"/>
      <c r="H47" s="13"/>
      <c r="I47" s="13"/>
      <c r="J47" s="13">
        <v>8</v>
      </c>
      <c r="K47" s="13"/>
      <c r="L47" s="13"/>
      <c r="M47" s="13"/>
    </row>
    <row r="48" spans="1:13" ht="30">
      <c r="A48" s="27"/>
      <c r="B48" s="55"/>
      <c r="C48" s="34" t="s">
        <v>71</v>
      </c>
      <c r="D48" s="35" t="s">
        <v>115</v>
      </c>
      <c r="E48" s="44">
        <v>3.3999999999999998E-3</v>
      </c>
      <c r="F48" s="14"/>
      <c r="G48" s="13"/>
      <c r="H48" s="13">
        <v>8</v>
      </c>
      <c r="I48" s="13"/>
      <c r="J48" s="13"/>
      <c r="K48" s="13"/>
      <c r="L48" s="13"/>
      <c r="M48" s="13"/>
    </row>
    <row r="49" spans="1:13" ht="60">
      <c r="A49" s="27"/>
      <c r="B49" s="55"/>
      <c r="C49" s="34" t="s">
        <v>72</v>
      </c>
      <c r="D49" s="35" t="s">
        <v>117</v>
      </c>
      <c r="E49" s="44">
        <v>3.3999999999999998E-3</v>
      </c>
      <c r="F49" s="14"/>
      <c r="G49" s="13"/>
      <c r="H49" s="13"/>
      <c r="I49" s="13"/>
      <c r="J49" s="13">
        <v>8</v>
      </c>
      <c r="K49" s="13"/>
      <c r="L49" s="13"/>
      <c r="M49" s="13"/>
    </row>
    <row r="50" spans="1:13" ht="30">
      <c r="A50" s="27"/>
      <c r="B50" s="55"/>
      <c r="C50" s="34" t="s">
        <v>73</v>
      </c>
      <c r="D50" s="35" t="s">
        <v>93</v>
      </c>
      <c r="E50" s="44">
        <v>3.3999999999999998E-3</v>
      </c>
      <c r="F50" s="14">
        <v>7</v>
      </c>
      <c r="G50" s="13"/>
      <c r="H50" s="13"/>
      <c r="I50" s="13"/>
      <c r="J50" s="13"/>
      <c r="K50" s="13"/>
      <c r="L50" s="13"/>
      <c r="M50" s="13"/>
    </row>
    <row r="51" spans="1:13" ht="30">
      <c r="A51" s="27"/>
      <c r="B51" s="55"/>
      <c r="C51" s="34" t="s">
        <v>74</v>
      </c>
      <c r="D51" s="35" t="s">
        <v>94</v>
      </c>
      <c r="E51" s="44">
        <v>3.3999999999999998E-3</v>
      </c>
      <c r="F51" s="14"/>
      <c r="G51" s="13"/>
      <c r="H51" s="13"/>
      <c r="I51" s="13"/>
      <c r="J51" s="13">
        <v>8</v>
      </c>
      <c r="K51" s="13"/>
      <c r="L51" s="13"/>
      <c r="M51" s="13"/>
    </row>
    <row r="52" spans="1:13" ht="30">
      <c r="A52" s="27"/>
      <c r="B52" s="55"/>
      <c r="C52" s="34" t="s">
        <v>75</v>
      </c>
      <c r="D52" s="35" t="s">
        <v>95</v>
      </c>
      <c r="E52" s="44">
        <v>3.3999999999999998E-3</v>
      </c>
      <c r="F52" s="14"/>
      <c r="G52" s="13"/>
      <c r="H52" s="13">
        <v>8</v>
      </c>
      <c r="I52" s="13"/>
      <c r="J52" s="13"/>
      <c r="K52" s="13"/>
      <c r="L52" s="13"/>
      <c r="M52" s="13"/>
    </row>
    <row r="53" spans="1:13" ht="30">
      <c r="A53" s="27"/>
      <c r="B53" s="55"/>
      <c r="C53" s="34" t="s">
        <v>67</v>
      </c>
      <c r="D53" s="35" t="s">
        <v>92</v>
      </c>
      <c r="E53" s="44">
        <v>3.3999999999999998E-3</v>
      </c>
      <c r="F53" s="14"/>
      <c r="G53" s="13"/>
      <c r="H53" s="13"/>
      <c r="I53" s="13"/>
      <c r="J53" s="13"/>
      <c r="K53" s="13"/>
      <c r="L53" s="13">
        <v>8</v>
      </c>
      <c r="M53" s="13"/>
    </row>
    <row r="54" spans="1:13" ht="30">
      <c r="A54" s="27"/>
      <c r="B54" s="55"/>
      <c r="C54" s="34" t="s">
        <v>77</v>
      </c>
      <c r="D54" s="35" t="s">
        <v>96</v>
      </c>
      <c r="E54" s="44">
        <v>3.3999999999999998E-3</v>
      </c>
      <c r="F54" s="14"/>
      <c r="G54" s="13"/>
      <c r="H54" s="13">
        <v>8</v>
      </c>
      <c r="I54" s="13"/>
      <c r="J54" s="13"/>
      <c r="K54" s="13"/>
      <c r="L54" s="13"/>
      <c r="M54" s="13"/>
    </row>
    <row r="55" spans="1:13" ht="15.75">
      <c r="A55" s="27"/>
      <c r="B55" s="55"/>
      <c r="C55" s="34" t="s">
        <v>76</v>
      </c>
      <c r="D55" s="35" t="s">
        <v>97</v>
      </c>
      <c r="E55" s="44">
        <v>3.3999999999999998E-3</v>
      </c>
      <c r="F55" s="14"/>
      <c r="G55" s="13"/>
      <c r="H55" s="13">
        <v>8</v>
      </c>
      <c r="I55" s="13"/>
      <c r="J55" s="13"/>
      <c r="K55" s="13"/>
      <c r="L55" s="13"/>
      <c r="M55" s="13"/>
    </row>
    <row r="56" spans="1:13" ht="45">
      <c r="A56" s="27"/>
      <c r="B56" s="55"/>
      <c r="C56" s="34" t="s">
        <v>63</v>
      </c>
      <c r="D56" s="35" t="s">
        <v>118</v>
      </c>
      <c r="E56" s="44">
        <v>3.3999999999999998E-3</v>
      </c>
      <c r="F56" s="14"/>
      <c r="G56" s="13"/>
      <c r="H56" s="13"/>
      <c r="I56" s="13"/>
      <c r="J56" s="13">
        <v>8</v>
      </c>
      <c r="K56" s="13"/>
      <c r="L56" s="13"/>
      <c r="M56" s="13"/>
    </row>
    <row r="57" spans="1:13" ht="60">
      <c r="A57" s="27"/>
      <c r="B57" s="55"/>
      <c r="C57" s="34" t="s">
        <v>64</v>
      </c>
      <c r="D57" s="35" t="s">
        <v>103</v>
      </c>
      <c r="E57" s="44">
        <v>3.3999999999999998E-3</v>
      </c>
      <c r="F57" s="14"/>
      <c r="G57" s="13"/>
      <c r="H57" s="13"/>
      <c r="I57" s="13"/>
      <c r="J57" s="13">
        <v>8</v>
      </c>
      <c r="K57" s="13"/>
      <c r="L57" s="13"/>
      <c r="M57" s="13"/>
    </row>
    <row r="58" spans="1:13" ht="30">
      <c r="A58" s="27"/>
      <c r="B58" s="55"/>
      <c r="C58" s="34" t="s">
        <v>65</v>
      </c>
      <c r="D58" s="35" t="s">
        <v>98</v>
      </c>
      <c r="E58" s="44">
        <v>3.3999999999999998E-3</v>
      </c>
      <c r="F58" s="14"/>
      <c r="G58" s="13"/>
      <c r="H58" s="13">
        <v>8</v>
      </c>
      <c r="I58" s="13"/>
      <c r="J58" s="13"/>
      <c r="K58" s="13"/>
      <c r="L58" s="13"/>
      <c r="M58" s="13"/>
    </row>
    <row r="59" spans="1:13" ht="45">
      <c r="A59" s="27"/>
      <c r="B59" s="55"/>
      <c r="C59" s="34" t="s">
        <v>62</v>
      </c>
      <c r="D59" s="35" t="s">
        <v>101</v>
      </c>
      <c r="E59" s="44">
        <v>3.3999999999999998E-3</v>
      </c>
      <c r="F59" s="14"/>
      <c r="G59" s="13"/>
      <c r="H59" s="13"/>
      <c r="I59" s="13"/>
      <c r="J59" s="13">
        <v>8</v>
      </c>
      <c r="K59" s="13"/>
      <c r="L59" s="13"/>
      <c r="M59" s="13"/>
    </row>
    <row r="60" spans="1:13" ht="30">
      <c r="A60" s="27"/>
      <c r="B60" s="55"/>
      <c r="C60" s="34" t="s">
        <v>66</v>
      </c>
      <c r="D60" s="35" t="s">
        <v>100</v>
      </c>
      <c r="E60" s="44">
        <v>3.3999999999999998E-3</v>
      </c>
      <c r="F60" s="14"/>
      <c r="G60" s="13"/>
      <c r="H60" s="13"/>
      <c r="I60" s="13"/>
      <c r="J60" s="13">
        <v>8</v>
      </c>
      <c r="K60" s="13"/>
      <c r="L60" s="13"/>
      <c r="M60" s="13"/>
    </row>
    <row r="61" spans="1:13" ht="60">
      <c r="A61" s="27"/>
      <c r="B61" s="55"/>
      <c r="C61" s="34" t="s">
        <v>78</v>
      </c>
      <c r="D61" s="35" t="s">
        <v>120</v>
      </c>
      <c r="E61" s="44">
        <v>3.3999999999999998E-3</v>
      </c>
      <c r="F61" s="14">
        <v>7</v>
      </c>
      <c r="G61" s="13"/>
      <c r="H61" s="13"/>
      <c r="I61" s="13"/>
      <c r="J61" s="13"/>
      <c r="K61" s="13"/>
      <c r="L61" s="13"/>
      <c r="M61" s="13"/>
    </row>
    <row r="62" spans="1:13" ht="45">
      <c r="A62" s="27"/>
      <c r="B62" s="55"/>
      <c r="C62" s="34" t="s">
        <v>79</v>
      </c>
      <c r="D62" s="35" t="s">
        <v>111</v>
      </c>
      <c r="E62" s="44">
        <v>3.3999999999999998E-3</v>
      </c>
      <c r="F62" s="14">
        <v>7</v>
      </c>
      <c r="G62" s="13"/>
      <c r="H62" s="13"/>
      <c r="I62" s="13"/>
      <c r="J62" s="13"/>
      <c r="K62" s="13"/>
      <c r="L62" s="13"/>
      <c r="M62" s="13"/>
    </row>
    <row r="63" spans="1:13" ht="90">
      <c r="A63" s="27"/>
      <c r="B63" s="55"/>
      <c r="C63" s="34" t="s">
        <v>80</v>
      </c>
      <c r="D63" s="35" t="s">
        <v>109</v>
      </c>
      <c r="E63" s="44">
        <v>3.3999999999999998E-3</v>
      </c>
      <c r="F63" s="14"/>
      <c r="G63" s="13"/>
      <c r="H63" s="13">
        <v>8</v>
      </c>
      <c r="I63" s="13"/>
      <c r="J63" s="13"/>
      <c r="K63" s="13"/>
      <c r="L63" s="13"/>
      <c r="M63" s="13"/>
    </row>
    <row r="64" spans="1:13" ht="45">
      <c r="A64" s="27"/>
      <c r="B64" s="55"/>
      <c r="C64" s="34" t="s">
        <v>81</v>
      </c>
      <c r="D64" s="35" t="s">
        <v>110</v>
      </c>
      <c r="E64" s="44">
        <v>3.3999999999999998E-3</v>
      </c>
      <c r="F64" s="14"/>
      <c r="G64" s="13"/>
      <c r="H64" s="13">
        <v>8</v>
      </c>
      <c r="I64" s="13"/>
      <c r="J64" s="13"/>
      <c r="K64" s="13"/>
      <c r="L64" s="13"/>
      <c r="M64" s="13"/>
    </row>
    <row r="65" spans="1:13" ht="30">
      <c r="A65" s="27"/>
      <c r="B65" s="55"/>
      <c r="C65" s="24" t="s">
        <v>82</v>
      </c>
      <c r="D65" s="35" t="s">
        <v>121</v>
      </c>
      <c r="E65" s="44">
        <v>3.3999999999999998E-3</v>
      </c>
      <c r="F65" s="14">
        <v>7</v>
      </c>
      <c r="G65" s="13"/>
      <c r="H65" s="13"/>
      <c r="I65" s="13"/>
      <c r="J65" s="13"/>
      <c r="K65" s="13"/>
      <c r="L65" s="13"/>
      <c r="M65" s="13"/>
    </row>
    <row r="66" spans="1:13" ht="45">
      <c r="A66" s="27"/>
      <c r="B66" s="55"/>
      <c r="C66" s="24" t="s">
        <v>83</v>
      </c>
      <c r="D66" s="35" t="s">
        <v>112</v>
      </c>
      <c r="E66" s="44">
        <v>3.3999999999999998E-3</v>
      </c>
      <c r="F66" s="14">
        <v>7</v>
      </c>
      <c r="G66" s="13"/>
      <c r="H66" s="13"/>
      <c r="I66" s="13"/>
      <c r="J66" s="13"/>
      <c r="K66" s="13"/>
      <c r="L66" s="13"/>
      <c r="M66" s="13"/>
    </row>
    <row r="67" spans="1:13" ht="45">
      <c r="A67" s="27"/>
      <c r="B67" s="55"/>
      <c r="C67" s="24" t="s">
        <v>84</v>
      </c>
      <c r="D67" s="35" t="s">
        <v>108</v>
      </c>
      <c r="E67" s="44">
        <v>3.3999999999999998E-3</v>
      </c>
      <c r="F67" s="14"/>
      <c r="G67" s="13"/>
      <c r="H67" s="13"/>
      <c r="I67" s="13"/>
      <c r="J67" s="13"/>
      <c r="K67" s="13"/>
      <c r="L67" s="13">
        <v>7</v>
      </c>
      <c r="M67" s="13"/>
    </row>
    <row r="68" spans="1:13" ht="30">
      <c r="A68" s="27"/>
      <c r="B68" s="55"/>
      <c r="C68" s="24" t="s">
        <v>123</v>
      </c>
      <c r="D68" s="35" t="s">
        <v>107</v>
      </c>
      <c r="E68" s="44">
        <v>3.3999999999999998E-3</v>
      </c>
      <c r="F68" s="14"/>
      <c r="G68" s="13"/>
      <c r="H68" s="13"/>
      <c r="I68" s="13"/>
      <c r="J68" s="13"/>
      <c r="K68" s="13"/>
      <c r="L68" s="13">
        <v>7</v>
      </c>
      <c r="M68" s="13"/>
    </row>
    <row r="69" spans="1:13" ht="60">
      <c r="A69" s="27"/>
      <c r="B69" s="55"/>
      <c r="C69" s="24" t="s">
        <v>122</v>
      </c>
      <c r="D69" s="35" t="s">
        <v>105</v>
      </c>
      <c r="E69" s="44">
        <v>3.3999999999999998E-3</v>
      </c>
      <c r="F69" s="14"/>
      <c r="G69" s="13"/>
      <c r="H69" s="13"/>
      <c r="I69" s="13"/>
      <c r="J69" s="13"/>
      <c r="K69" s="13"/>
      <c r="L69" s="13">
        <v>7</v>
      </c>
      <c r="M69" s="13"/>
    </row>
    <row r="70" spans="1:13" ht="30">
      <c r="A70" s="27"/>
      <c r="B70" s="55"/>
      <c r="C70" s="24" t="s">
        <v>86</v>
      </c>
      <c r="D70" s="35" t="s">
        <v>124</v>
      </c>
      <c r="E70" s="44">
        <v>3.3999999999999998E-3</v>
      </c>
      <c r="F70" s="14"/>
      <c r="G70" s="13"/>
      <c r="H70" s="13"/>
      <c r="I70" s="13"/>
      <c r="J70" s="13">
        <v>7</v>
      </c>
      <c r="K70" s="13"/>
      <c r="L70" s="13"/>
      <c r="M70" s="13"/>
    </row>
    <row r="71" spans="1:13" ht="15.75">
      <c r="A71" s="27"/>
      <c r="B71" s="55"/>
      <c r="C71" s="24" t="s">
        <v>85</v>
      </c>
      <c r="D71" s="35" t="s">
        <v>106</v>
      </c>
      <c r="E71" s="44">
        <v>3.3999999999999998E-3</v>
      </c>
      <c r="F71" s="14"/>
      <c r="G71" s="13"/>
      <c r="H71" s="13"/>
      <c r="I71" s="13"/>
      <c r="J71" s="13">
        <v>7</v>
      </c>
      <c r="K71" s="13"/>
      <c r="L71" s="13"/>
      <c r="M71" s="13"/>
    </row>
    <row r="72" spans="1:13">
      <c r="A72" s="2"/>
      <c r="B72" s="56"/>
      <c r="C72" s="66" t="s">
        <v>170</v>
      </c>
      <c r="D72" s="67"/>
      <c r="E72" s="68">
        <v>0.3</v>
      </c>
      <c r="F72" s="14">
        <f>calculateComponent(5,F3,F16,F23,F28,F33)</f>
        <v>8</v>
      </c>
      <c r="G72" s="14" t="str">
        <f>calculateComponent(5,G3,G16,G23,G28,G33)</f>
        <v/>
      </c>
      <c r="H72" s="14">
        <f>calculateComponent(5,H3,H16,H23,H28,H33)</f>
        <v>8</v>
      </c>
      <c r="I72" s="14" t="str">
        <f>calculateComponent(5,I3,I16,I23,I28,I33)</f>
        <v/>
      </c>
      <c r="J72" s="14">
        <f>calculateComponent(5,J3,J16,J23,J28,J33)</f>
        <v>8</v>
      </c>
      <c r="K72" s="14" t="str">
        <f>calculateComponent(5,K3,K16,K23,K28,K33)</f>
        <v/>
      </c>
      <c r="L72" s="14">
        <f>calculateComponent(5,L3,L16,L23,L28,L33)</f>
        <v>8</v>
      </c>
      <c r="M72" s="14" t="str">
        <f>calculateComponent(5,M3,M16,M23,M28,M33)</f>
        <v/>
      </c>
    </row>
    <row r="73" spans="1:13">
      <c r="A73" s="2">
        <v>22</v>
      </c>
      <c r="B73" s="54" t="s">
        <v>8</v>
      </c>
      <c r="C73" s="6" t="s">
        <v>9</v>
      </c>
      <c r="D73" s="3"/>
      <c r="E73" s="7">
        <v>0.2</v>
      </c>
      <c r="F73" s="14"/>
      <c r="G73" s="14"/>
      <c r="H73" s="14"/>
      <c r="I73" s="14"/>
      <c r="J73" s="13"/>
      <c r="K73" s="14"/>
      <c r="L73" s="13"/>
      <c r="M73" s="14"/>
    </row>
    <row r="74" spans="1:13">
      <c r="A74" s="2">
        <v>23</v>
      </c>
      <c r="B74" s="55"/>
      <c r="C74" s="28" t="s">
        <v>16</v>
      </c>
      <c r="D74" s="5"/>
      <c r="E74" s="7">
        <v>0.1</v>
      </c>
      <c r="F74" s="13"/>
      <c r="G74" s="14"/>
      <c r="H74" s="14"/>
      <c r="I74" s="14"/>
      <c r="J74" s="13"/>
      <c r="K74" s="14"/>
      <c r="L74" s="13">
        <v>7</v>
      </c>
      <c r="M74" s="14"/>
    </row>
    <row r="75" spans="1:13">
      <c r="A75" s="2">
        <v>24</v>
      </c>
      <c r="B75" s="55"/>
      <c r="C75" s="28" t="s">
        <v>10</v>
      </c>
      <c r="D75" s="5"/>
      <c r="E75" s="7">
        <v>0.2</v>
      </c>
      <c r="F75" s="14"/>
      <c r="G75" s="14"/>
      <c r="H75" s="14">
        <v>8</v>
      </c>
      <c r="I75" s="14"/>
      <c r="J75" s="13"/>
      <c r="K75" s="14"/>
      <c r="L75" s="13"/>
      <c r="M75" s="14"/>
    </row>
    <row r="76" spans="1:13">
      <c r="A76" s="2">
        <v>25</v>
      </c>
      <c r="B76" s="55"/>
      <c r="C76" s="28" t="s">
        <v>11</v>
      </c>
      <c r="D76" s="5"/>
      <c r="E76" s="7">
        <v>0.3</v>
      </c>
      <c r="F76" s="14"/>
      <c r="G76" s="14"/>
      <c r="H76" s="14"/>
      <c r="I76" s="14"/>
      <c r="J76" s="13">
        <v>7</v>
      </c>
      <c r="K76" s="14"/>
      <c r="L76" s="13"/>
      <c r="M76" s="14"/>
    </row>
    <row r="77" spans="1:13">
      <c r="A77" s="2">
        <v>26</v>
      </c>
      <c r="B77" s="55"/>
      <c r="C77" s="28" t="s">
        <v>12</v>
      </c>
      <c r="D77" s="4"/>
      <c r="E77" s="9">
        <v>0.2</v>
      </c>
      <c r="F77" s="14">
        <v>7</v>
      </c>
      <c r="G77" s="14"/>
      <c r="H77" s="14"/>
      <c r="I77" s="14"/>
      <c r="J77" s="14"/>
      <c r="K77" s="14"/>
      <c r="L77" s="14"/>
      <c r="M77" s="14"/>
    </row>
    <row r="78" spans="1:13">
      <c r="A78" s="2"/>
      <c r="B78" s="56"/>
      <c r="C78" s="60" t="s">
        <v>171</v>
      </c>
      <c r="D78" s="60"/>
      <c r="E78" s="8">
        <v>0.3</v>
      </c>
      <c r="F78" s="14">
        <f>calculateComponent(5,F73:F77)</f>
        <v>7</v>
      </c>
      <c r="G78" s="14" t="str">
        <f t="shared" ref="G78:K78" si="7">calculateComponent(5,G73:G77)</f>
        <v/>
      </c>
      <c r="H78" s="14">
        <f t="shared" si="7"/>
        <v>8</v>
      </c>
      <c r="I78" s="14" t="str">
        <f t="shared" si="7"/>
        <v/>
      </c>
      <c r="J78" s="14">
        <f t="shared" si="7"/>
        <v>7.0000000000000009</v>
      </c>
      <c r="K78" s="14" t="str">
        <f t="shared" si="7"/>
        <v/>
      </c>
      <c r="L78" s="14">
        <f t="shared" ref="L78:M78" si="8">calculateComponent(5,L73:L77)</f>
        <v>7</v>
      </c>
      <c r="M78" s="14" t="str">
        <f t="shared" si="8"/>
        <v/>
      </c>
    </row>
    <row r="79" spans="1:13" ht="16.5">
      <c r="A79" s="2">
        <v>27</v>
      </c>
      <c r="B79" s="51" t="s">
        <v>13</v>
      </c>
      <c r="C79" s="30" t="s">
        <v>59</v>
      </c>
      <c r="D79" s="5"/>
      <c r="E79" s="32">
        <v>0.6</v>
      </c>
      <c r="F79" s="14">
        <f>calculateMark(5,F80:F88)</f>
        <v>7</v>
      </c>
      <c r="G79" s="14" t="str">
        <f t="shared" ref="G79:M79" si="9">calculateMark(5,G80:G88)</f>
        <v/>
      </c>
      <c r="H79" s="14">
        <f t="shared" si="9"/>
        <v>7.5000000000000009</v>
      </c>
      <c r="I79" s="14" t="str">
        <f t="shared" si="9"/>
        <v/>
      </c>
      <c r="J79" s="14">
        <f t="shared" si="9"/>
        <v>8</v>
      </c>
      <c r="K79" s="14" t="str">
        <f t="shared" si="9"/>
        <v/>
      </c>
      <c r="L79" s="14">
        <f t="shared" si="9"/>
        <v>7</v>
      </c>
      <c r="M79" s="14" t="str">
        <f t="shared" si="9"/>
        <v/>
      </c>
    </row>
    <row r="80" spans="1:13" ht="30">
      <c r="A80" s="2">
        <v>28</v>
      </c>
      <c r="B80" s="52"/>
      <c r="C80" s="29" t="s">
        <v>133</v>
      </c>
      <c r="D80" s="39" t="s">
        <v>139</v>
      </c>
      <c r="E80" s="26">
        <v>0.1</v>
      </c>
      <c r="F80" s="14"/>
      <c r="G80" s="14"/>
      <c r="H80" s="13">
        <v>8</v>
      </c>
      <c r="I80" s="14"/>
      <c r="J80" s="14"/>
      <c r="K80" s="14"/>
      <c r="L80" s="14"/>
      <c r="M80" s="14"/>
    </row>
    <row r="81" spans="1:13" ht="45">
      <c r="A81" s="2">
        <v>29</v>
      </c>
      <c r="B81" s="52"/>
      <c r="C81" s="29" t="s">
        <v>134</v>
      </c>
      <c r="D81" s="39" t="s">
        <v>140</v>
      </c>
      <c r="E81" s="26">
        <v>0.05</v>
      </c>
      <c r="F81" s="14"/>
      <c r="G81" s="14"/>
      <c r="H81" s="13">
        <v>7</v>
      </c>
      <c r="I81" s="14"/>
      <c r="J81" s="14"/>
      <c r="K81" s="14"/>
      <c r="L81" s="14"/>
      <c r="M81" s="14"/>
    </row>
    <row r="82" spans="1:13" ht="30">
      <c r="A82" s="2">
        <v>30</v>
      </c>
      <c r="B82" s="52"/>
      <c r="C82" s="29" t="s">
        <v>135</v>
      </c>
      <c r="D82" s="39" t="s">
        <v>141</v>
      </c>
      <c r="E82" s="26">
        <v>0.05</v>
      </c>
      <c r="F82" s="14">
        <v>7</v>
      </c>
      <c r="G82" s="14"/>
      <c r="H82" s="13"/>
      <c r="I82" s="14"/>
      <c r="J82" s="14"/>
      <c r="K82" s="14"/>
      <c r="L82" s="14"/>
      <c r="M82" s="14"/>
    </row>
    <row r="83" spans="1:13" ht="30">
      <c r="A83" s="2">
        <v>31</v>
      </c>
      <c r="B83" s="52"/>
      <c r="C83" s="29" t="s">
        <v>60</v>
      </c>
      <c r="D83" s="39" t="s">
        <v>142</v>
      </c>
      <c r="E83" s="26">
        <v>0.05</v>
      </c>
      <c r="F83" s="14">
        <v>7</v>
      </c>
      <c r="G83" s="14"/>
      <c r="H83" s="13"/>
      <c r="I83" s="14"/>
      <c r="J83" s="14"/>
      <c r="K83" s="14"/>
      <c r="L83" s="14"/>
      <c r="M83" s="14"/>
    </row>
    <row r="84" spans="1:13" ht="16.5">
      <c r="A84" s="2">
        <v>32</v>
      </c>
      <c r="B84" s="52"/>
      <c r="C84" s="29" t="s">
        <v>143</v>
      </c>
      <c r="D84" s="39" t="s">
        <v>146</v>
      </c>
      <c r="E84" s="26">
        <v>0.05</v>
      </c>
      <c r="F84" s="14"/>
      <c r="G84" s="14"/>
      <c r="H84" s="13"/>
      <c r="I84" s="14"/>
      <c r="J84" s="14"/>
      <c r="K84" s="14"/>
      <c r="L84" s="14">
        <v>7</v>
      </c>
      <c r="M84" s="14"/>
    </row>
    <row r="85" spans="1:13" ht="30">
      <c r="A85" s="2">
        <v>33</v>
      </c>
      <c r="B85" s="52"/>
      <c r="C85" s="29" t="s">
        <v>144</v>
      </c>
      <c r="D85" s="39" t="s">
        <v>147</v>
      </c>
      <c r="E85" s="26">
        <v>0.05</v>
      </c>
      <c r="F85" s="14"/>
      <c r="G85" s="14"/>
      <c r="H85" s="13">
        <v>7</v>
      </c>
      <c r="I85" s="14"/>
      <c r="J85" s="14"/>
      <c r="K85" s="14"/>
      <c r="L85" s="14"/>
      <c r="M85" s="14"/>
    </row>
    <row r="86" spans="1:13" ht="30">
      <c r="A86" s="2">
        <v>34</v>
      </c>
      <c r="B86" s="52"/>
      <c r="C86" s="29" t="s">
        <v>145</v>
      </c>
      <c r="D86" s="39" t="s">
        <v>148</v>
      </c>
      <c r="E86" s="26">
        <v>0.05</v>
      </c>
      <c r="F86" s="14"/>
      <c r="G86" s="14"/>
      <c r="H86" s="13"/>
      <c r="I86" s="14"/>
      <c r="J86" s="14"/>
      <c r="K86" s="14"/>
      <c r="L86" s="14">
        <v>7</v>
      </c>
      <c r="M86" s="14"/>
    </row>
    <row r="87" spans="1:13" ht="45">
      <c r="A87" s="2">
        <v>35</v>
      </c>
      <c r="B87" s="52"/>
      <c r="C87" s="29" t="s">
        <v>136</v>
      </c>
      <c r="D87" s="39" t="s">
        <v>137</v>
      </c>
      <c r="E87" s="26">
        <v>0.1</v>
      </c>
      <c r="F87" s="14"/>
      <c r="G87" s="14"/>
      <c r="H87" s="13"/>
      <c r="I87" s="14"/>
      <c r="J87" s="14">
        <v>8</v>
      </c>
      <c r="K87" s="14"/>
      <c r="L87" s="14"/>
      <c r="M87" s="14"/>
    </row>
    <row r="88" spans="1:13" ht="30">
      <c r="A88" s="2">
        <v>36</v>
      </c>
      <c r="B88" s="52"/>
      <c r="C88" s="29" t="s">
        <v>88</v>
      </c>
      <c r="D88" s="39" t="s">
        <v>138</v>
      </c>
      <c r="E88" s="26">
        <v>0.1</v>
      </c>
      <c r="F88" s="14">
        <v>7</v>
      </c>
      <c r="G88" s="14"/>
      <c r="H88" s="13"/>
      <c r="I88" s="14"/>
      <c r="J88" s="14"/>
      <c r="K88" s="14"/>
      <c r="L88" s="14"/>
      <c r="M88" s="14"/>
    </row>
    <row r="89" spans="1:13" ht="16.5">
      <c r="A89" s="27"/>
      <c r="B89" s="52"/>
      <c r="C89" s="30" t="s">
        <v>132</v>
      </c>
      <c r="D89" s="5"/>
      <c r="E89" s="32">
        <v>0.1</v>
      </c>
      <c r="F89" s="14" t="str">
        <f>calculateMark(5,F90:F93)</f>
        <v/>
      </c>
      <c r="G89" s="14" t="str">
        <f t="shared" ref="G89:M89" si="10">calculateMark(5,G90:G93)</f>
        <v/>
      </c>
      <c r="H89" s="14" t="str">
        <f t="shared" si="10"/>
        <v/>
      </c>
      <c r="I89" s="14" t="str">
        <f t="shared" si="10"/>
        <v/>
      </c>
      <c r="J89" s="14" t="str">
        <f t="shared" si="10"/>
        <v/>
      </c>
      <c r="K89" s="14" t="str">
        <f t="shared" si="10"/>
        <v/>
      </c>
      <c r="L89" s="14">
        <f t="shared" si="10"/>
        <v>6.0000000000000009</v>
      </c>
      <c r="M89" s="14" t="str">
        <f t="shared" si="10"/>
        <v/>
      </c>
    </row>
    <row r="90" spans="1:13" ht="30">
      <c r="A90" s="27"/>
      <c r="B90" s="52"/>
      <c r="C90" s="38" t="s">
        <v>125</v>
      </c>
      <c r="D90" s="39" t="s">
        <v>126</v>
      </c>
      <c r="E90" s="48">
        <v>2.5000000000000001E-2</v>
      </c>
      <c r="F90" s="14"/>
      <c r="G90" s="14"/>
      <c r="H90" s="13"/>
      <c r="I90" s="14"/>
      <c r="J90" s="14"/>
      <c r="K90" s="14"/>
      <c r="L90" s="14">
        <v>6</v>
      </c>
      <c r="M90" s="14"/>
    </row>
    <row r="91" spans="1:13" ht="30">
      <c r="A91" s="27"/>
      <c r="B91" s="52"/>
      <c r="C91" s="38" t="s">
        <v>127</v>
      </c>
      <c r="D91" s="39" t="s">
        <v>128</v>
      </c>
      <c r="E91" s="48">
        <v>2.5000000000000001E-2</v>
      </c>
      <c r="F91" s="14"/>
      <c r="G91" s="14"/>
      <c r="H91" s="13"/>
      <c r="I91" s="14"/>
      <c r="J91" s="14"/>
      <c r="K91" s="14"/>
      <c r="L91" s="14">
        <v>6</v>
      </c>
      <c r="M91" s="14"/>
    </row>
    <row r="92" spans="1:13" ht="16.5">
      <c r="A92" s="27"/>
      <c r="B92" s="52"/>
      <c r="C92" s="38" t="s">
        <v>129</v>
      </c>
      <c r="D92" s="39" t="s">
        <v>130</v>
      </c>
      <c r="E92" s="48">
        <v>2.5000000000000001E-2</v>
      </c>
      <c r="F92" s="14"/>
      <c r="G92" s="14"/>
      <c r="H92" s="13"/>
      <c r="I92" s="14"/>
      <c r="J92" s="14"/>
      <c r="K92" s="14"/>
      <c r="L92" s="14">
        <v>6</v>
      </c>
      <c r="M92" s="14"/>
    </row>
    <row r="93" spans="1:13" ht="45">
      <c r="A93" s="27"/>
      <c r="B93" s="52"/>
      <c r="C93" s="38" t="s">
        <v>54</v>
      </c>
      <c r="D93" s="35" t="s">
        <v>131</v>
      </c>
      <c r="E93" s="48">
        <v>2.5000000000000001E-2</v>
      </c>
      <c r="F93" s="14"/>
      <c r="G93" s="14"/>
      <c r="H93" s="13"/>
      <c r="I93" s="14"/>
      <c r="J93" s="14"/>
      <c r="K93" s="14"/>
      <c r="L93" s="14">
        <v>6</v>
      </c>
      <c r="M93" s="14"/>
    </row>
    <row r="94" spans="1:13" ht="16.5">
      <c r="A94" s="27"/>
      <c r="B94" s="52"/>
      <c r="C94" s="30" t="s">
        <v>87</v>
      </c>
      <c r="D94" s="5"/>
      <c r="E94" s="47">
        <v>0.4</v>
      </c>
      <c r="F94" s="14">
        <f>calculateMark(5,F95:F106)</f>
        <v>7.2500000000000009</v>
      </c>
      <c r="G94" s="14" t="str">
        <f t="shared" ref="G94:M94" si="11">calculateMark(5,G95:G106)</f>
        <v/>
      </c>
      <c r="H94" s="14">
        <f t="shared" si="11"/>
        <v>7</v>
      </c>
      <c r="I94" s="14" t="str">
        <f t="shared" si="11"/>
        <v/>
      </c>
      <c r="J94" s="14">
        <f t="shared" si="11"/>
        <v>7.571428571428573</v>
      </c>
      <c r="K94" s="14" t="str">
        <f t="shared" si="11"/>
        <v/>
      </c>
      <c r="L94" s="14">
        <f t="shared" si="11"/>
        <v>7</v>
      </c>
      <c r="M94" s="14" t="str">
        <f t="shared" si="11"/>
        <v/>
      </c>
    </row>
    <row r="95" spans="1:13" ht="45">
      <c r="A95" s="27"/>
      <c r="B95" s="52"/>
      <c r="C95" s="38" t="s">
        <v>164</v>
      </c>
      <c r="D95" s="39" t="s">
        <v>172</v>
      </c>
      <c r="E95" s="26">
        <v>0.05</v>
      </c>
      <c r="F95" s="14">
        <v>8</v>
      </c>
      <c r="G95" s="14"/>
      <c r="H95" s="13"/>
      <c r="I95" s="14"/>
      <c r="J95" s="14"/>
      <c r="K95" s="14"/>
      <c r="L95" s="14"/>
      <c r="M95" s="14"/>
    </row>
    <row r="96" spans="1:13" ht="16.5">
      <c r="A96" s="27"/>
      <c r="B96" s="52"/>
      <c r="C96" s="38" t="s">
        <v>23</v>
      </c>
      <c r="D96" s="39" t="s">
        <v>149</v>
      </c>
      <c r="E96" s="26">
        <v>0.05</v>
      </c>
      <c r="F96" s="14"/>
      <c r="G96" s="14"/>
      <c r="H96" s="13"/>
      <c r="I96" s="14"/>
      <c r="J96" s="14">
        <v>8</v>
      </c>
      <c r="K96" s="14"/>
      <c r="L96" s="14"/>
      <c r="M96" s="14"/>
    </row>
    <row r="97" spans="1:13" ht="30">
      <c r="A97" s="27"/>
      <c r="B97" s="52"/>
      <c r="C97" s="38" t="s">
        <v>150</v>
      </c>
      <c r="D97" s="39" t="s">
        <v>151</v>
      </c>
      <c r="E97" s="26">
        <v>0.05</v>
      </c>
      <c r="F97" s="14"/>
      <c r="G97" s="14"/>
      <c r="H97" s="13"/>
      <c r="I97" s="14"/>
      <c r="J97" s="14">
        <v>7</v>
      </c>
      <c r="K97" s="14"/>
      <c r="L97" s="14"/>
      <c r="M97" s="14"/>
    </row>
    <row r="98" spans="1:13" ht="30">
      <c r="A98" s="27"/>
      <c r="B98" s="52"/>
      <c r="C98" s="38" t="s">
        <v>152</v>
      </c>
      <c r="D98" s="35" t="s">
        <v>153</v>
      </c>
      <c r="E98" s="48">
        <v>2.5000000000000001E-2</v>
      </c>
      <c r="F98" s="14"/>
      <c r="G98" s="14"/>
      <c r="H98" s="13">
        <v>7</v>
      </c>
      <c r="I98" s="14"/>
      <c r="J98" s="14"/>
      <c r="K98" s="14"/>
      <c r="L98" s="14"/>
      <c r="M98" s="14"/>
    </row>
    <row r="99" spans="1:13" ht="45">
      <c r="A99" s="2">
        <v>37</v>
      </c>
      <c r="B99" s="52"/>
      <c r="C99" s="38" t="s">
        <v>17</v>
      </c>
      <c r="D99" s="35" t="s">
        <v>160</v>
      </c>
      <c r="E99" s="48">
        <v>2.5000000000000001E-2</v>
      </c>
      <c r="F99" s="14">
        <v>6</v>
      </c>
      <c r="G99" s="14"/>
      <c r="H99" s="13"/>
      <c r="I99" s="14"/>
      <c r="J99" s="14"/>
      <c r="K99" s="14"/>
      <c r="L99" s="14"/>
      <c r="M99" s="14"/>
    </row>
    <row r="100" spans="1:13" ht="45">
      <c r="A100" s="2">
        <v>38</v>
      </c>
      <c r="B100" s="52"/>
      <c r="C100" s="38" t="s">
        <v>161</v>
      </c>
      <c r="D100" s="35" t="s">
        <v>162</v>
      </c>
      <c r="E100" s="48">
        <v>2.5000000000000001E-2</v>
      </c>
      <c r="F100" s="14"/>
      <c r="G100" s="14"/>
      <c r="H100" s="13"/>
      <c r="I100" s="14"/>
      <c r="J100" s="14"/>
      <c r="K100" s="14"/>
      <c r="L100" s="14">
        <v>7</v>
      </c>
      <c r="M100" s="14"/>
    </row>
    <row r="101" spans="1:13" ht="33">
      <c r="A101" s="27"/>
      <c r="B101" s="52"/>
      <c r="C101" s="38" t="s">
        <v>154</v>
      </c>
      <c r="D101" s="39" t="s">
        <v>155</v>
      </c>
      <c r="E101" s="48">
        <v>2.5000000000000001E-2</v>
      </c>
      <c r="F101" s="14">
        <v>7</v>
      </c>
      <c r="G101" s="14"/>
      <c r="H101" s="13"/>
      <c r="I101" s="14"/>
      <c r="J101" s="14"/>
      <c r="K101" s="14"/>
      <c r="L101" s="14"/>
      <c r="M101" s="14"/>
    </row>
    <row r="102" spans="1:13" ht="16.5">
      <c r="A102" s="27"/>
      <c r="B102" s="52"/>
      <c r="C102" s="38" t="s">
        <v>156</v>
      </c>
      <c r="D102" s="3" t="s">
        <v>157</v>
      </c>
      <c r="E102" s="48">
        <v>2.5000000000000001E-2</v>
      </c>
      <c r="F102" s="14"/>
      <c r="G102" s="14"/>
      <c r="H102" s="13"/>
      <c r="I102" s="14"/>
      <c r="J102" s="14">
        <v>7</v>
      </c>
      <c r="K102" s="14"/>
      <c r="L102" s="14"/>
      <c r="M102" s="14"/>
    </row>
    <row r="103" spans="1:13" ht="16.5">
      <c r="A103" s="27"/>
      <c r="B103" s="52"/>
      <c r="C103" s="38" t="s">
        <v>158</v>
      </c>
      <c r="D103" s="3" t="s">
        <v>159</v>
      </c>
      <c r="E103" s="48">
        <v>2.5000000000000001E-2</v>
      </c>
      <c r="F103" s="14"/>
      <c r="G103" s="14"/>
      <c r="H103" s="13">
        <v>7</v>
      </c>
      <c r="I103" s="14"/>
      <c r="J103" s="14"/>
      <c r="K103" s="14"/>
      <c r="L103" s="14"/>
      <c r="M103" s="14"/>
    </row>
    <row r="104" spans="1:13" ht="30">
      <c r="A104" s="27"/>
      <c r="B104" s="52"/>
      <c r="C104" s="38" t="s">
        <v>165</v>
      </c>
      <c r="D104" s="35" t="s">
        <v>166</v>
      </c>
      <c r="E104" s="48">
        <v>2.5000000000000001E-2</v>
      </c>
      <c r="F104" s="14"/>
      <c r="G104" s="14"/>
      <c r="H104" s="13"/>
      <c r="I104" s="14"/>
      <c r="J104" s="14"/>
      <c r="K104" s="14"/>
      <c r="L104" s="14">
        <v>7</v>
      </c>
      <c r="M104" s="14"/>
    </row>
    <row r="105" spans="1:13" ht="30">
      <c r="A105" s="27"/>
      <c r="B105" s="52"/>
      <c r="C105" s="38" t="s">
        <v>167</v>
      </c>
      <c r="D105" s="35" t="s">
        <v>168</v>
      </c>
      <c r="E105" s="48">
        <v>2.5000000000000001E-2</v>
      </c>
      <c r="F105" s="14"/>
      <c r="G105" s="14"/>
      <c r="H105" s="13"/>
      <c r="I105" s="14"/>
      <c r="J105" s="14"/>
      <c r="K105" s="14"/>
      <c r="L105" s="14"/>
      <c r="M105" s="14"/>
    </row>
    <row r="106" spans="1:13" ht="30">
      <c r="A106" s="27"/>
      <c r="B106" s="52"/>
      <c r="C106" s="38" t="s">
        <v>163</v>
      </c>
      <c r="D106" s="35" t="s">
        <v>169</v>
      </c>
      <c r="E106" s="26">
        <v>0.05</v>
      </c>
      <c r="F106" s="14"/>
      <c r="G106" s="14"/>
      <c r="H106" s="13"/>
      <c r="I106" s="14"/>
      <c r="J106" s="14">
        <v>8</v>
      </c>
      <c r="K106" s="14"/>
      <c r="L106" s="14"/>
      <c r="M106" s="14"/>
    </row>
    <row r="107" spans="1:13">
      <c r="A107" s="2"/>
      <c r="B107" s="53"/>
      <c r="C107" s="61" t="s">
        <v>14</v>
      </c>
      <c r="D107" s="62"/>
      <c r="E107" s="9">
        <v>0.4</v>
      </c>
      <c r="F107" s="14">
        <f>calculateComponent(5,F79,F89,F94)</f>
        <v>7.1000000000000005</v>
      </c>
      <c r="G107" s="14" t="str">
        <f t="shared" ref="G107:M107" si="12">calculateComponent(5,G79,G89,G94)</f>
        <v/>
      </c>
      <c r="H107" s="14">
        <f t="shared" si="12"/>
        <v>7.3000000000000007</v>
      </c>
      <c r="I107" s="14" t="str">
        <f t="shared" si="12"/>
        <v/>
      </c>
      <c r="J107" s="14">
        <f t="shared" si="12"/>
        <v>7.8285714285714292</v>
      </c>
      <c r="K107" s="14" t="str">
        <f t="shared" si="12"/>
        <v/>
      </c>
      <c r="L107" s="14">
        <f t="shared" si="12"/>
        <v>6.9090909090909101</v>
      </c>
      <c r="M107" s="14" t="str">
        <f t="shared" si="12"/>
        <v/>
      </c>
    </row>
    <row r="108" spans="1:13">
      <c r="A108" s="59" t="s">
        <v>14</v>
      </c>
      <c r="B108" s="59"/>
      <c r="C108" s="59"/>
      <c r="D108" s="59"/>
      <c r="E108" s="59"/>
      <c r="F108" s="10">
        <f>calTotal(5,F72,F78,F107)</f>
        <v>7.34</v>
      </c>
      <c r="G108" s="10">
        <f>calTotal(5,G72,G78,G107)</f>
        <v>0</v>
      </c>
      <c r="H108" s="10">
        <f>calTotal(5,H72,H78,H107)</f>
        <v>7.7200000000000006</v>
      </c>
      <c r="I108" s="10">
        <f>calTotal(5,I72,I78,I107)</f>
        <v>0</v>
      </c>
      <c r="J108" s="10">
        <f>calTotal(5,J72,J78,J107)</f>
        <v>7.6314285714285717</v>
      </c>
      <c r="K108" s="10">
        <f>calTotal(5,K72,K78,K107)</f>
        <v>0</v>
      </c>
      <c r="L108" s="10">
        <f>calTotal(5,L72,L78,L107)</f>
        <v>7.2636363636363637</v>
      </c>
      <c r="M108" s="10">
        <f>calTotal(5,M72,M78,M107)</f>
        <v>0</v>
      </c>
    </row>
  </sheetData>
  <mergeCells count="16">
    <mergeCell ref="L1:M1"/>
    <mergeCell ref="H1:I1"/>
    <mergeCell ref="J1:K1"/>
    <mergeCell ref="F1:G1"/>
    <mergeCell ref="A108:E108"/>
    <mergeCell ref="A1:A2"/>
    <mergeCell ref="B1:B2"/>
    <mergeCell ref="C1:C2"/>
    <mergeCell ref="D1:D2"/>
    <mergeCell ref="E1:E2"/>
    <mergeCell ref="B3:B72"/>
    <mergeCell ref="C72:D72"/>
    <mergeCell ref="B73:B78"/>
    <mergeCell ref="C78:D78"/>
    <mergeCell ref="B79:B107"/>
    <mergeCell ref="C107:D107"/>
  </mergeCells>
  <pageMargins left="0.7" right="0.7" top="0.75" bottom="0.75" header="0.3" footer="0.3"/>
  <pageSetup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TasksheetBID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Kieu Trong Khanh</dc:creator>
  <cp:lastModifiedBy>phung thien phuc</cp:lastModifiedBy>
  <dcterms:created xsi:type="dcterms:W3CDTF">2018-11-18T21:10:51Z</dcterms:created>
  <dcterms:modified xsi:type="dcterms:W3CDTF">2019-11-26T01:10:26Z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a2fc2f02-1f05-4111-82fa-2c7ef73d4053</vt:lpwstr>
  </property>
</Properties>
</file>